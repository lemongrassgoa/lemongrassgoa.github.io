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J:\Git\lemongrassgoa\list\"/>
    </mc:Choice>
  </mc:AlternateContent>
  <xr:revisionPtr revIDLastSave="0" documentId="13_ncr:1_{6C113B2B-60C7-4692-95CB-6A89B6B3F169}" xr6:coauthVersionLast="47" xr6:coauthVersionMax="47" xr10:uidLastSave="{00000000-0000-0000-0000-000000000000}"/>
  <bookViews>
    <workbookView xWindow="-120" yWindow="-120" windowWidth="29040" windowHeight="15720" tabRatio="424" xr2:uid="{00000000-000D-0000-FFFF-FFFF00000000}"/>
  </bookViews>
  <sheets>
    <sheet name="Contemporary" sheetId="1" r:id="rId1"/>
    <sheet name="Classical" sheetId="2" r:id="rId2"/>
    <sheet name="Duo" sheetId="13" r:id="rId3"/>
    <sheet name="CSV" sheetId="14" r:id="rId4"/>
    <sheet name="Spotify" sheetId="15" r:id="rId5"/>
    <sheet name="Solo list" sheetId="5" state="hidden" r:id="rId6"/>
  </sheets>
  <definedNames>
    <definedName name="_xlnm.Print_Titles" localSheetId="0">Contemporary!$A$11:$IV$11</definedName>
    <definedName name="_xlnm.Print_Titles" localSheetId="2">Duo!$A$6:$IV$6</definedName>
    <definedName name="_xlnm.Print_Titles" localSheetId="5">'Solo list'!$A$1</definedName>
    <definedName name="Print_Titles_0" localSheetId="0">Contemporary!$A$11:$IV$11</definedName>
    <definedName name="Print_Titles_0" localSheetId="2">Duo!$A$6:$IV$6</definedName>
    <definedName name="Print_Titles_0" localSheetId="5">'Solo list'!$A$1</definedName>
    <definedName name="Print_Titles_0_0" localSheetId="0">Contemporary!$A$11:$IV$11</definedName>
    <definedName name="Print_Titles_0_0" localSheetId="2">Duo!$A$6:$IV$6</definedName>
    <definedName name="Print_Titles_0_0" localSheetId="5">'Solo list'!$A$1</definedName>
    <definedName name="Print_Titles_0_0_0" localSheetId="0">Contemporary!$A$11:$IV$11</definedName>
    <definedName name="Print_Titles_0_0_0" localSheetId="2">Duo!$A$6:$IV$6</definedName>
    <definedName name="Print_Titles_0_0_0" localSheetId="5">'Solo list'!$A$1</definedName>
    <definedName name="Print_Titles_0_0_0_0" localSheetId="0">Contemporary!$A$11:$IV$11</definedName>
    <definedName name="Print_Titles_0_0_0_0" localSheetId="2">Duo!$A$6:$IV$6</definedName>
    <definedName name="Print_Titles_0_0_0_0" localSheetId="5">'Solo list'!$A$1</definedName>
    <definedName name="Print_Titles_0_0_0_0_0" localSheetId="0">Contemporary!$A$11:$IV$11</definedName>
    <definedName name="Print_Titles_0_0_0_0_0" localSheetId="2">Duo!$A$6:$IV$6</definedName>
    <definedName name="Print_Titles_0_0_0_0_0" localSheetId="5">'Solo list'!$A$1</definedName>
    <definedName name="Print_Titles_0_0_0_0_0_0" localSheetId="0">Contemporary!$A$11:$IV$11</definedName>
    <definedName name="Print_Titles_0_0_0_0_0_0" localSheetId="2">Duo!$A$6:$IV$6</definedName>
    <definedName name="Print_Titles_0_0_0_0_0_0" localSheetId="5">'Solo list'!$A$1</definedName>
    <definedName name="Print_Titles_0_0_0_0_0_0_0" localSheetId="0">Contemporary!$A$11:$IV$11</definedName>
    <definedName name="Print_Titles_0_0_0_0_0_0_0" localSheetId="2">Duo!$A$6:$IV$6</definedName>
    <definedName name="Print_Titles_0_0_0_0_0_0_0" localSheetId="5">'Solo list'!$A$1</definedName>
    <definedName name="Print_Titles_0_0_0_0_0_0_0_0" localSheetId="0">Contemporary!$A$11:$IV$11</definedName>
    <definedName name="Print_Titles_0_0_0_0_0_0_0_0" localSheetId="2">Duo!$A$6:$IV$6</definedName>
    <definedName name="Print_Titles_0_0_0_0_0_0_0_0" localSheetId="5">'Solo list'!$A$1</definedName>
    <definedName name="Print_Titles_0_0_0_0_0_0_0_0_0" localSheetId="0">Contemporary!$A$11:$IV$11</definedName>
    <definedName name="Print_Titles_0_0_0_0_0_0_0_0_0" localSheetId="2">Duo!$A$6:$IV$6</definedName>
    <definedName name="Print_Titles_0_0_0_0_0_0_0_0_0" localSheetId="5">'Solo list'!$A$1</definedName>
    <definedName name="Print_Titles_0_0_0_0_0_0_0_0_0_0" localSheetId="0">Contemporary!$A$11:$IV$11</definedName>
    <definedName name="Print_Titles_0_0_0_0_0_0_0_0_0_0" localSheetId="2">Duo!$A$6:$IV$6</definedName>
    <definedName name="Print_Titles_0_0_0_0_0_0_0_0_0_0" localSheetId="5">'Solo list'!$A$1</definedName>
    <definedName name="Print_Titles_0_0_0_0_0_0_0_0_0_0_0" localSheetId="0">Contemporary!$A$11:$IV$11</definedName>
    <definedName name="Print_Titles_0_0_0_0_0_0_0_0_0_0_0" localSheetId="2">Duo!$A$6:$IV$6</definedName>
    <definedName name="Print_Titles_0_0_0_0_0_0_0_0_0_0_0" localSheetId="5">'Solo list'!$A$1</definedName>
    <definedName name="repertoire_csv">CSV!$A$1:$A$536</definedName>
    <definedName name="repertoirelist" localSheetId="0">Contemporary!$B$1:$W$324</definedName>
    <definedName name="Tabl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6" i="1" l="1"/>
  <c r="A2" i="14" l="1"/>
  <c r="K4" i="1"/>
  <c r="M4" i="1"/>
  <c r="N4" i="1"/>
  <c r="O4" i="1"/>
  <c r="P4" i="1"/>
  <c r="Q4" i="1"/>
  <c r="R4" i="1"/>
  <c r="S4" i="1"/>
  <c r="T4" i="1"/>
  <c r="U4" i="1"/>
  <c r="V4" i="1"/>
  <c r="W4" i="1"/>
  <c r="K5" i="1"/>
  <c r="M5" i="1"/>
  <c r="N5" i="1"/>
  <c r="O5" i="1"/>
  <c r="P5" i="1"/>
  <c r="Q5" i="1"/>
  <c r="R5" i="1"/>
  <c r="S5" i="1"/>
  <c r="T5" i="1"/>
  <c r="U5" i="1"/>
  <c r="V5" i="1"/>
  <c r="W5" i="1"/>
  <c r="K6" i="1"/>
  <c r="M6" i="1"/>
  <c r="N6" i="1"/>
  <c r="O6" i="1"/>
  <c r="P6" i="1"/>
  <c r="Q6" i="1"/>
  <c r="R6" i="1"/>
  <c r="S6" i="1"/>
  <c r="T6" i="1"/>
  <c r="U6" i="1"/>
  <c r="V6" i="1"/>
  <c r="W6" i="1"/>
  <c r="K7" i="1"/>
  <c r="M7" i="1"/>
  <c r="N7" i="1"/>
  <c r="O7" i="1"/>
  <c r="P7" i="1"/>
  <c r="Q7" i="1"/>
  <c r="R7" i="1"/>
  <c r="S7" i="1"/>
  <c r="T7" i="1"/>
  <c r="U7" i="1"/>
  <c r="V7" i="1"/>
  <c r="W7" i="1"/>
  <c r="K8" i="1"/>
  <c r="M8" i="1"/>
  <c r="N8" i="1"/>
  <c r="O8" i="1"/>
  <c r="P8" i="1"/>
  <c r="Q8" i="1"/>
  <c r="R8" i="1"/>
  <c r="S8" i="1"/>
  <c r="T8" i="1"/>
  <c r="U8" i="1"/>
  <c r="V8" i="1"/>
  <c r="W8" i="1"/>
  <c r="K9" i="1"/>
  <c r="M9" i="1"/>
  <c r="N9" i="1"/>
  <c r="O9" i="1"/>
  <c r="P9" i="1"/>
  <c r="Q9" i="1"/>
  <c r="R9" i="1"/>
  <c r="S9" i="1"/>
  <c r="T9" i="1"/>
  <c r="U9" i="1"/>
  <c r="V9" i="1"/>
  <c r="W9" i="1"/>
  <c r="K10" i="1"/>
  <c r="M10" i="1"/>
  <c r="N10" i="1"/>
  <c r="O10" i="1"/>
  <c r="P10" i="1"/>
  <c r="Q10" i="1"/>
  <c r="R10" i="1"/>
  <c r="S10" i="1"/>
  <c r="T10" i="1"/>
  <c r="U10" i="1"/>
  <c r="V10" i="1"/>
  <c r="W10" i="1"/>
  <c r="K11" i="1"/>
  <c r="M11" i="1"/>
  <c r="N11" i="1"/>
  <c r="O11" i="1"/>
  <c r="P11" i="1"/>
  <c r="Q11" i="1"/>
  <c r="R11" i="1"/>
  <c r="S11" i="1"/>
  <c r="T11" i="1"/>
  <c r="U11" i="1"/>
  <c r="V11" i="1"/>
  <c r="W11" i="1"/>
  <c r="K12" i="1"/>
  <c r="M12" i="1"/>
  <c r="N12" i="1"/>
  <c r="O12" i="1"/>
  <c r="P12" i="1"/>
  <c r="Q12" i="1"/>
  <c r="R12" i="1"/>
  <c r="S12" i="1"/>
  <c r="T12" i="1"/>
  <c r="U12" i="1"/>
  <c r="V12" i="1"/>
  <c r="W12" i="1"/>
  <c r="K13" i="1"/>
  <c r="M13" i="1"/>
  <c r="N13" i="1"/>
  <c r="O13" i="1"/>
  <c r="P13" i="1"/>
  <c r="Q13" i="1"/>
  <c r="R13" i="1"/>
  <c r="S13" i="1"/>
  <c r="T13" i="1"/>
  <c r="U13" i="1"/>
  <c r="V13" i="1"/>
  <c r="W13" i="1"/>
  <c r="K14" i="1"/>
  <c r="M14" i="1"/>
  <c r="N14" i="1"/>
  <c r="O14" i="1"/>
  <c r="P14" i="1"/>
  <c r="Q14" i="1"/>
  <c r="R14" i="1"/>
  <c r="S14" i="1"/>
  <c r="T14" i="1"/>
  <c r="U14" i="1"/>
  <c r="V14" i="1"/>
  <c r="W14" i="1"/>
  <c r="K15" i="1"/>
  <c r="M15" i="1"/>
  <c r="N15" i="1"/>
  <c r="O15" i="1"/>
  <c r="P15" i="1"/>
  <c r="Q15" i="1"/>
  <c r="R15" i="1"/>
  <c r="S15" i="1"/>
  <c r="T15" i="1"/>
  <c r="U15" i="1"/>
  <c r="V15" i="1"/>
  <c r="W15" i="1"/>
  <c r="K16" i="1"/>
  <c r="M16" i="1"/>
  <c r="N16" i="1"/>
  <c r="O16" i="1"/>
  <c r="P16" i="1"/>
  <c r="Q16" i="1"/>
  <c r="R16" i="1"/>
  <c r="S16" i="1"/>
  <c r="T16" i="1"/>
  <c r="U16" i="1"/>
  <c r="V16" i="1"/>
  <c r="W16" i="1"/>
  <c r="K17" i="1"/>
  <c r="M17" i="1"/>
  <c r="N17" i="1"/>
  <c r="O17" i="1"/>
  <c r="P17" i="1"/>
  <c r="Q17" i="1"/>
  <c r="R17" i="1"/>
  <c r="S17" i="1"/>
  <c r="T17" i="1"/>
  <c r="U17" i="1"/>
  <c r="V17" i="1"/>
  <c r="W17" i="1"/>
  <c r="K18" i="1"/>
  <c r="M18" i="1"/>
  <c r="N18" i="1"/>
  <c r="O18" i="1"/>
  <c r="P18" i="1"/>
  <c r="Q18" i="1"/>
  <c r="R18" i="1"/>
  <c r="S18" i="1"/>
  <c r="T18" i="1"/>
  <c r="U18" i="1"/>
  <c r="V18" i="1"/>
  <c r="W18" i="1"/>
  <c r="K19" i="1"/>
  <c r="M19" i="1"/>
  <c r="N19" i="1"/>
  <c r="O19" i="1"/>
  <c r="P19" i="1"/>
  <c r="Q19" i="1"/>
  <c r="R19" i="1"/>
  <c r="S19" i="1"/>
  <c r="T19" i="1"/>
  <c r="U19" i="1"/>
  <c r="V19" i="1"/>
  <c r="W19" i="1"/>
  <c r="K20" i="1"/>
  <c r="M20" i="1"/>
  <c r="N20" i="1"/>
  <c r="O20" i="1"/>
  <c r="P20" i="1"/>
  <c r="Q20" i="1"/>
  <c r="R20" i="1"/>
  <c r="S20" i="1"/>
  <c r="T20" i="1"/>
  <c r="U20" i="1"/>
  <c r="V20" i="1"/>
  <c r="W20" i="1"/>
  <c r="K21" i="1"/>
  <c r="M21" i="1"/>
  <c r="N21" i="1"/>
  <c r="O21" i="1"/>
  <c r="P21" i="1"/>
  <c r="Q21" i="1"/>
  <c r="R21" i="1"/>
  <c r="S21" i="1"/>
  <c r="T21" i="1"/>
  <c r="U21" i="1"/>
  <c r="V21" i="1"/>
  <c r="W21" i="1"/>
  <c r="K22" i="1"/>
  <c r="M22" i="1"/>
  <c r="N22" i="1"/>
  <c r="O22" i="1"/>
  <c r="P22" i="1"/>
  <c r="Q22" i="1"/>
  <c r="R22" i="1"/>
  <c r="S22" i="1"/>
  <c r="T22" i="1"/>
  <c r="U22" i="1"/>
  <c r="V22" i="1"/>
  <c r="W22" i="1"/>
  <c r="K23" i="1"/>
  <c r="M23" i="1"/>
  <c r="N23" i="1"/>
  <c r="O23" i="1"/>
  <c r="P23" i="1"/>
  <c r="Q23" i="1"/>
  <c r="R23" i="1"/>
  <c r="S23" i="1"/>
  <c r="T23" i="1"/>
  <c r="U23" i="1"/>
  <c r="V23" i="1"/>
  <c r="W23" i="1"/>
  <c r="K24" i="1"/>
  <c r="M24" i="1"/>
  <c r="N24" i="1"/>
  <c r="O24" i="1"/>
  <c r="P24" i="1"/>
  <c r="Q24" i="1"/>
  <c r="R24" i="1"/>
  <c r="S24" i="1"/>
  <c r="T24" i="1"/>
  <c r="U24" i="1"/>
  <c r="V24" i="1"/>
  <c r="W24" i="1"/>
  <c r="K25" i="1"/>
  <c r="M25" i="1"/>
  <c r="N25" i="1"/>
  <c r="O25" i="1"/>
  <c r="P25" i="1"/>
  <c r="Q25" i="1"/>
  <c r="R25" i="1"/>
  <c r="S25" i="1"/>
  <c r="T25" i="1"/>
  <c r="U25" i="1"/>
  <c r="V25" i="1"/>
  <c r="W25" i="1"/>
  <c r="K26" i="1"/>
  <c r="M26" i="1"/>
  <c r="N26" i="1"/>
  <c r="O26" i="1"/>
  <c r="P26" i="1"/>
  <c r="Q26" i="1"/>
  <c r="R26" i="1"/>
  <c r="S26" i="1"/>
  <c r="T26" i="1"/>
  <c r="U26" i="1"/>
  <c r="V26" i="1"/>
  <c r="W26" i="1"/>
  <c r="K27" i="1"/>
  <c r="M27" i="1"/>
  <c r="N27" i="1"/>
  <c r="O27" i="1"/>
  <c r="P27" i="1"/>
  <c r="Q27" i="1"/>
  <c r="R27" i="1"/>
  <c r="S27" i="1"/>
  <c r="T27" i="1"/>
  <c r="U27" i="1"/>
  <c r="V27" i="1"/>
  <c r="W27" i="1"/>
  <c r="K28" i="1"/>
  <c r="M28" i="1"/>
  <c r="N28" i="1"/>
  <c r="O28" i="1"/>
  <c r="P28" i="1"/>
  <c r="Q28" i="1"/>
  <c r="R28" i="1"/>
  <c r="S28" i="1"/>
  <c r="T28" i="1"/>
  <c r="U28" i="1"/>
  <c r="V28" i="1"/>
  <c r="W28" i="1"/>
  <c r="K29" i="1"/>
  <c r="M29" i="1"/>
  <c r="N29" i="1"/>
  <c r="O29" i="1"/>
  <c r="P29" i="1"/>
  <c r="Q29" i="1"/>
  <c r="R29" i="1"/>
  <c r="S29" i="1"/>
  <c r="T29" i="1"/>
  <c r="U29" i="1"/>
  <c r="V29" i="1"/>
  <c r="W29" i="1"/>
  <c r="K30" i="1"/>
  <c r="M30" i="1"/>
  <c r="N30" i="1"/>
  <c r="O30" i="1"/>
  <c r="P30" i="1"/>
  <c r="Q30" i="1"/>
  <c r="R30" i="1"/>
  <c r="S30" i="1"/>
  <c r="T30" i="1"/>
  <c r="U30" i="1"/>
  <c r="V30" i="1"/>
  <c r="W30" i="1"/>
  <c r="K31" i="1"/>
  <c r="M31" i="1"/>
  <c r="N31" i="1"/>
  <c r="O31" i="1"/>
  <c r="P31" i="1"/>
  <c r="Q31" i="1"/>
  <c r="R31" i="1"/>
  <c r="S31" i="1"/>
  <c r="T31" i="1"/>
  <c r="U31" i="1"/>
  <c r="V31" i="1"/>
  <c r="W31" i="1"/>
  <c r="K32" i="1"/>
  <c r="M32" i="1"/>
  <c r="N32" i="1"/>
  <c r="O32" i="1"/>
  <c r="P32" i="1"/>
  <c r="Q32" i="1"/>
  <c r="R32" i="1"/>
  <c r="S32" i="1"/>
  <c r="T32" i="1"/>
  <c r="U32" i="1"/>
  <c r="V32" i="1"/>
  <c r="W32" i="1"/>
  <c r="K33" i="1"/>
  <c r="M33" i="1"/>
  <c r="N33" i="1"/>
  <c r="O33" i="1"/>
  <c r="P33" i="1"/>
  <c r="Q33" i="1"/>
  <c r="R33" i="1"/>
  <c r="S33" i="1"/>
  <c r="T33" i="1"/>
  <c r="U33" i="1"/>
  <c r="V33" i="1"/>
  <c r="W33" i="1"/>
  <c r="K34" i="1"/>
  <c r="M34" i="1"/>
  <c r="N34" i="1"/>
  <c r="O34" i="1"/>
  <c r="P34" i="1"/>
  <c r="Q34" i="1"/>
  <c r="R34" i="1"/>
  <c r="S34" i="1"/>
  <c r="T34" i="1"/>
  <c r="U34" i="1"/>
  <c r="V34" i="1"/>
  <c r="W34" i="1"/>
  <c r="K35" i="1"/>
  <c r="M35" i="1"/>
  <c r="N35" i="1"/>
  <c r="O35" i="1"/>
  <c r="P35" i="1"/>
  <c r="Q35" i="1"/>
  <c r="R35" i="1"/>
  <c r="S35" i="1"/>
  <c r="T35" i="1"/>
  <c r="U35" i="1"/>
  <c r="V35" i="1"/>
  <c r="W35" i="1"/>
  <c r="K36" i="1"/>
  <c r="M36" i="1"/>
  <c r="N36" i="1"/>
  <c r="O36" i="1"/>
  <c r="P36" i="1"/>
  <c r="Q36" i="1"/>
  <c r="R36" i="1"/>
  <c r="S36" i="1"/>
  <c r="T36" i="1"/>
  <c r="U36" i="1"/>
  <c r="V36" i="1"/>
  <c r="W36" i="1"/>
  <c r="K37" i="1"/>
  <c r="M37" i="1"/>
  <c r="N37" i="1"/>
  <c r="O37" i="1"/>
  <c r="P37" i="1"/>
  <c r="Q37" i="1"/>
  <c r="R37" i="1"/>
  <c r="S37" i="1"/>
  <c r="T37" i="1"/>
  <c r="U37" i="1"/>
  <c r="V37" i="1"/>
  <c r="W37" i="1"/>
  <c r="K38" i="1"/>
  <c r="M38" i="1"/>
  <c r="N38" i="1"/>
  <c r="O38" i="1"/>
  <c r="P38" i="1"/>
  <c r="Q38" i="1"/>
  <c r="R38" i="1"/>
  <c r="S38" i="1"/>
  <c r="T38" i="1"/>
  <c r="U38" i="1"/>
  <c r="V38" i="1"/>
  <c r="W38" i="1"/>
  <c r="K39" i="1"/>
  <c r="M39" i="1"/>
  <c r="N39" i="1"/>
  <c r="O39" i="1"/>
  <c r="P39" i="1"/>
  <c r="Q39" i="1"/>
  <c r="R39" i="1"/>
  <c r="S39" i="1"/>
  <c r="T39" i="1"/>
  <c r="U39" i="1"/>
  <c r="V39" i="1"/>
  <c r="W39" i="1"/>
  <c r="K40" i="1"/>
  <c r="M40" i="1"/>
  <c r="N40" i="1"/>
  <c r="O40" i="1"/>
  <c r="P40" i="1"/>
  <c r="Q40" i="1"/>
  <c r="R40" i="1"/>
  <c r="S40" i="1"/>
  <c r="T40" i="1"/>
  <c r="U40" i="1"/>
  <c r="V40" i="1"/>
  <c r="W40" i="1"/>
  <c r="K41" i="1"/>
  <c r="M41" i="1"/>
  <c r="N41" i="1"/>
  <c r="O41" i="1"/>
  <c r="P41" i="1"/>
  <c r="Q41" i="1"/>
  <c r="R41" i="1"/>
  <c r="S41" i="1"/>
  <c r="T41" i="1"/>
  <c r="U41" i="1"/>
  <c r="V41" i="1"/>
  <c r="W41" i="1"/>
  <c r="K42" i="1"/>
  <c r="M42" i="1"/>
  <c r="N42" i="1"/>
  <c r="O42" i="1"/>
  <c r="P42" i="1"/>
  <c r="Q42" i="1"/>
  <c r="R42" i="1"/>
  <c r="S42" i="1"/>
  <c r="T42" i="1"/>
  <c r="U42" i="1"/>
  <c r="V42" i="1"/>
  <c r="W42" i="1"/>
  <c r="K43" i="1"/>
  <c r="M43" i="1"/>
  <c r="N43" i="1"/>
  <c r="O43" i="1"/>
  <c r="P43" i="1"/>
  <c r="Q43" i="1"/>
  <c r="R43" i="1"/>
  <c r="S43" i="1"/>
  <c r="T43" i="1"/>
  <c r="U43" i="1"/>
  <c r="V43" i="1"/>
  <c r="W43" i="1"/>
  <c r="K44" i="1"/>
  <c r="M44" i="1"/>
  <c r="N44" i="1"/>
  <c r="O44" i="1"/>
  <c r="P44" i="1"/>
  <c r="Q44" i="1"/>
  <c r="R44" i="1"/>
  <c r="S44" i="1"/>
  <c r="T44" i="1"/>
  <c r="U44" i="1"/>
  <c r="V44" i="1"/>
  <c r="W44" i="1"/>
  <c r="K45" i="1"/>
  <c r="M45" i="1"/>
  <c r="N45" i="1"/>
  <c r="O45" i="1"/>
  <c r="P45" i="1"/>
  <c r="Q45" i="1"/>
  <c r="R45" i="1"/>
  <c r="S45" i="1"/>
  <c r="T45" i="1"/>
  <c r="U45" i="1"/>
  <c r="V45" i="1"/>
  <c r="W45" i="1"/>
  <c r="K46" i="1"/>
  <c r="M46" i="1"/>
  <c r="N46" i="1"/>
  <c r="O46" i="1"/>
  <c r="P46" i="1"/>
  <c r="Q46" i="1"/>
  <c r="R46" i="1"/>
  <c r="S46" i="1"/>
  <c r="T46" i="1"/>
  <c r="U46" i="1"/>
  <c r="V46" i="1"/>
  <c r="W46" i="1"/>
  <c r="K47" i="1"/>
  <c r="M47" i="1"/>
  <c r="N47" i="1"/>
  <c r="O47" i="1"/>
  <c r="P47" i="1"/>
  <c r="Q47" i="1"/>
  <c r="R47" i="1"/>
  <c r="S47" i="1"/>
  <c r="T47" i="1"/>
  <c r="U47" i="1"/>
  <c r="V47" i="1"/>
  <c r="W47" i="1"/>
  <c r="K48" i="1"/>
  <c r="M48" i="1"/>
  <c r="N48" i="1"/>
  <c r="O48" i="1"/>
  <c r="P48" i="1"/>
  <c r="Q48" i="1"/>
  <c r="R48" i="1"/>
  <c r="S48" i="1"/>
  <c r="T48" i="1"/>
  <c r="U48" i="1"/>
  <c r="V48" i="1"/>
  <c r="W48" i="1"/>
  <c r="K49" i="1"/>
  <c r="M49" i="1"/>
  <c r="N49" i="1"/>
  <c r="O49" i="1"/>
  <c r="P49" i="1"/>
  <c r="Q49" i="1"/>
  <c r="R49" i="1"/>
  <c r="S49" i="1"/>
  <c r="T49" i="1"/>
  <c r="U49" i="1"/>
  <c r="V49" i="1"/>
  <c r="W49" i="1"/>
  <c r="K50" i="1"/>
  <c r="M50" i="1"/>
  <c r="N50" i="1"/>
  <c r="O50" i="1"/>
  <c r="P50" i="1"/>
  <c r="Q50" i="1"/>
  <c r="R50" i="1"/>
  <c r="S50" i="1"/>
  <c r="T50" i="1"/>
  <c r="U50" i="1"/>
  <c r="V50" i="1"/>
  <c r="W50" i="1"/>
  <c r="K51" i="1"/>
  <c r="M51" i="1"/>
  <c r="N51" i="1"/>
  <c r="O51" i="1"/>
  <c r="P51" i="1"/>
  <c r="Q51" i="1"/>
  <c r="R51" i="1"/>
  <c r="S51" i="1"/>
  <c r="T51" i="1"/>
  <c r="U51" i="1"/>
  <c r="V51" i="1"/>
  <c r="W51" i="1"/>
  <c r="K52" i="1"/>
  <c r="M52" i="1"/>
  <c r="N52" i="1"/>
  <c r="O52" i="1"/>
  <c r="P52" i="1"/>
  <c r="Q52" i="1"/>
  <c r="R52" i="1"/>
  <c r="S52" i="1"/>
  <c r="T52" i="1"/>
  <c r="U52" i="1"/>
  <c r="V52" i="1"/>
  <c r="W52" i="1"/>
  <c r="K53" i="1"/>
  <c r="M53" i="1"/>
  <c r="N53" i="1"/>
  <c r="O53" i="1"/>
  <c r="P53" i="1"/>
  <c r="Q53" i="1"/>
  <c r="R53" i="1"/>
  <c r="S53" i="1"/>
  <c r="T53" i="1"/>
  <c r="U53" i="1"/>
  <c r="V53" i="1"/>
  <c r="W53" i="1"/>
  <c r="K54" i="1"/>
  <c r="M54" i="1"/>
  <c r="N54" i="1"/>
  <c r="O54" i="1"/>
  <c r="P54" i="1"/>
  <c r="Q54" i="1"/>
  <c r="R54" i="1"/>
  <c r="S54" i="1"/>
  <c r="T54" i="1"/>
  <c r="U54" i="1"/>
  <c r="V54" i="1"/>
  <c r="W54" i="1"/>
  <c r="K55" i="1"/>
  <c r="M55" i="1"/>
  <c r="N55" i="1"/>
  <c r="O55" i="1"/>
  <c r="P55" i="1"/>
  <c r="Q55" i="1"/>
  <c r="R55" i="1"/>
  <c r="S55" i="1"/>
  <c r="T55" i="1"/>
  <c r="U55" i="1"/>
  <c r="V55" i="1"/>
  <c r="W55" i="1"/>
  <c r="K56" i="1"/>
  <c r="M56" i="1"/>
  <c r="N56" i="1"/>
  <c r="O56" i="1"/>
  <c r="P56" i="1"/>
  <c r="Q56" i="1"/>
  <c r="R56" i="1"/>
  <c r="S56" i="1"/>
  <c r="T56" i="1"/>
  <c r="U56" i="1"/>
  <c r="V56" i="1"/>
  <c r="W56" i="1"/>
  <c r="K57" i="1"/>
  <c r="M57" i="1"/>
  <c r="N57" i="1"/>
  <c r="O57" i="1"/>
  <c r="P57" i="1"/>
  <c r="Q57" i="1"/>
  <c r="R57" i="1"/>
  <c r="S57" i="1"/>
  <c r="T57" i="1"/>
  <c r="U57" i="1"/>
  <c r="V57" i="1"/>
  <c r="W57" i="1"/>
  <c r="K58" i="1"/>
  <c r="M58" i="1"/>
  <c r="N58" i="1"/>
  <c r="O58" i="1"/>
  <c r="P58" i="1"/>
  <c r="Q58" i="1"/>
  <c r="R58" i="1"/>
  <c r="S58" i="1"/>
  <c r="T58" i="1"/>
  <c r="U58" i="1"/>
  <c r="V58" i="1"/>
  <c r="W58" i="1"/>
  <c r="K59" i="1"/>
  <c r="M59" i="1"/>
  <c r="N59" i="1"/>
  <c r="O59" i="1"/>
  <c r="P59" i="1"/>
  <c r="Q59" i="1"/>
  <c r="R59" i="1"/>
  <c r="S59" i="1"/>
  <c r="T59" i="1"/>
  <c r="U59" i="1"/>
  <c r="V59" i="1"/>
  <c r="W59" i="1"/>
  <c r="K60" i="1"/>
  <c r="M60" i="1"/>
  <c r="N60" i="1"/>
  <c r="O60" i="1"/>
  <c r="P60" i="1"/>
  <c r="Q60" i="1"/>
  <c r="R60" i="1"/>
  <c r="S60" i="1"/>
  <c r="T60" i="1"/>
  <c r="U60" i="1"/>
  <c r="V60" i="1"/>
  <c r="W60" i="1"/>
  <c r="K61" i="1"/>
  <c r="M61" i="1"/>
  <c r="N61" i="1"/>
  <c r="O61" i="1"/>
  <c r="P61" i="1"/>
  <c r="Q61" i="1"/>
  <c r="R61" i="1"/>
  <c r="S61" i="1"/>
  <c r="T61" i="1"/>
  <c r="U61" i="1"/>
  <c r="V61" i="1"/>
  <c r="W61" i="1"/>
  <c r="K62" i="1"/>
  <c r="M62" i="1"/>
  <c r="N62" i="1"/>
  <c r="O62" i="1"/>
  <c r="P62" i="1"/>
  <c r="Q62" i="1"/>
  <c r="R62" i="1"/>
  <c r="S62" i="1"/>
  <c r="T62" i="1"/>
  <c r="U62" i="1"/>
  <c r="V62" i="1"/>
  <c r="W62" i="1"/>
  <c r="K63" i="1"/>
  <c r="M63" i="1"/>
  <c r="N63" i="1"/>
  <c r="O63" i="1"/>
  <c r="P63" i="1"/>
  <c r="Q63" i="1"/>
  <c r="R63" i="1"/>
  <c r="S63" i="1"/>
  <c r="T63" i="1"/>
  <c r="U63" i="1"/>
  <c r="V63" i="1"/>
  <c r="W63" i="1"/>
  <c r="K64" i="1"/>
  <c r="M64" i="1"/>
  <c r="N64" i="1"/>
  <c r="O64" i="1"/>
  <c r="P64" i="1"/>
  <c r="Q64" i="1"/>
  <c r="R64" i="1"/>
  <c r="S64" i="1"/>
  <c r="T64" i="1"/>
  <c r="U64" i="1"/>
  <c r="V64" i="1"/>
  <c r="W64" i="1"/>
  <c r="K65" i="1"/>
  <c r="M65" i="1"/>
  <c r="N65" i="1"/>
  <c r="O65" i="1"/>
  <c r="P65" i="1"/>
  <c r="Q65" i="1"/>
  <c r="R65" i="1"/>
  <c r="S65" i="1"/>
  <c r="T65" i="1"/>
  <c r="U65" i="1"/>
  <c r="V65" i="1"/>
  <c r="W65" i="1"/>
  <c r="K66" i="1"/>
  <c r="M66" i="1"/>
  <c r="N66" i="1"/>
  <c r="O66" i="1"/>
  <c r="P66" i="1"/>
  <c r="Q66" i="1"/>
  <c r="R66" i="1"/>
  <c r="S66" i="1"/>
  <c r="T66" i="1"/>
  <c r="U66" i="1"/>
  <c r="V66" i="1"/>
  <c r="W66" i="1"/>
  <c r="K67" i="1"/>
  <c r="M67" i="1"/>
  <c r="N67" i="1"/>
  <c r="O67" i="1"/>
  <c r="P67" i="1"/>
  <c r="Q67" i="1"/>
  <c r="R67" i="1"/>
  <c r="S67" i="1"/>
  <c r="T67" i="1"/>
  <c r="U67" i="1"/>
  <c r="V67" i="1"/>
  <c r="W67" i="1"/>
  <c r="K68" i="1"/>
  <c r="M68" i="1"/>
  <c r="N68" i="1"/>
  <c r="O68" i="1"/>
  <c r="P68" i="1"/>
  <c r="Q68" i="1"/>
  <c r="R68" i="1"/>
  <c r="S68" i="1"/>
  <c r="T68" i="1"/>
  <c r="U68" i="1"/>
  <c r="V68" i="1"/>
  <c r="W68" i="1"/>
  <c r="K69" i="1"/>
  <c r="M69" i="1"/>
  <c r="N69" i="1"/>
  <c r="O69" i="1"/>
  <c r="P69" i="1"/>
  <c r="Q69" i="1"/>
  <c r="R69" i="1"/>
  <c r="S69" i="1"/>
  <c r="T69" i="1"/>
  <c r="U69" i="1"/>
  <c r="V69" i="1"/>
  <c r="W69" i="1"/>
  <c r="K70" i="1"/>
  <c r="M70" i="1"/>
  <c r="N70" i="1"/>
  <c r="O70" i="1"/>
  <c r="P70" i="1"/>
  <c r="Q70" i="1"/>
  <c r="R70" i="1"/>
  <c r="S70" i="1"/>
  <c r="T70" i="1"/>
  <c r="U70" i="1"/>
  <c r="V70" i="1"/>
  <c r="W70" i="1"/>
  <c r="K71" i="1"/>
  <c r="M71" i="1"/>
  <c r="N71" i="1"/>
  <c r="O71" i="1"/>
  <c r="P71" i="1"/>
  <c r="Q71" i="1"/>
  <c r="R71" i="1"/>
  <c r="S71" i="1"/>
  <c r="T71" i="1"/>
  <c r="U71" i="1"/>
  <c r="V71" i="1"/>
  <c r="W71" i="1"/>
  <c r="K72" i="1"/>
  <c r="M72" i="1"/>
  <c r="N72" i="1"/>
  <c r="O72" i="1"/>
  <c r="P72" i="1"/>
  <c r="Q72" i="1"/>
  <c r="R72" i="1"/>
  <c r="S72" i="1"/>
  <c r="T72" i="1"/>
  <c r="U72" i="1"/>
  <c r="V72" i="1"/>
  <c r="W72" i="1"/>
  <c r="K73" i="1"/>
  <c r="M73" i="1"/>
  <c r="N73" i="1"/>
  <c r="O73" i="1"/>
  <c r="P73" i="1"/>
  <c r="Q73" i="1"/>
  <c r="R73" i="1"/>
  <c r="S73" i="1"/>
  <c r="T73" i="1"/>
  <c r="U73" i="1"/>
  <c r="V73" i="1"/>
  <c r="W73" i="1"/>
  <c r="K74" i="1"/>
  <c r="M74" i="1"/>
  <c r="N74" i="1"/>
  <c r="O74" i="1"/>
  <c r="P74" i="1"/>
  <c r="Q74" i="1"/>
  <c r="R74" i="1"/>
  <c r="S74" i="1"/>
  <c r="T74" i="1"/>
  <c r="U74" i="1"/>
  <c r="V74" i="1"/>
  <c r="W74" i="1"/>
  <c r="K75" i="1"/>
  <c r="M75" i="1"/>
  <c r="N75" i="1"/>
  <c r="O75" i="1"/>
  <c r="P75" i="1"/>
  <c r="Q75" i="1"/>
  <c r="R75" i="1"/>
  <c r="S75" i="1"/>
  <c r="T75" i="1"/>
  <c r="U75" i="1"/>
  <c r="V75" i="1"/>
  <c r="W75" i="1"/>
  <c r="K76" i="1"/>
  <c r="M76" i="1"/>
  <c r="N76" i="1"/>
  <c r="O76" i="1"/>
  <c r="P76" i="1"/>
  <c r="Q76" i="1"/>
  <c r="R76" i="1"/>
  <c r="S76" i="1"/>
  <c r="T76" i="1"/>
  <c r="U76" i="1"/>
  <c r="V76" i="1"/>
  <c r="W76" i="1"/>
  <c r="K77" i="1"/>
  <c r="M77" i="1"/>
  <c r="N77" i="1"/>
  <c r="O77" i="1"/>
  <c r="P77" i="1"/>
  <c r="Q77" i="1"/>
  <c r="R77" i="1"/>
  <c r="S77" i="1"/>
  <c r="T77" i="1"/>
  <c r="U77" i="1"/>
  <c r="V77" i="1"/>
  <c r="W77" i="1"/>
  <c r="K78" i="1"/>
  <c r="M78" i="1"/>
  <c r="N78" i="1"/>
  <c r="O78" i="1"/>
  <c r="P78" i="1"/>
  <c r="Q78" i="1"/>
  <c r="R78" i="1"/>
  <c r="S78" i="1"/>
  <c r="T78" i="1"/>
  <c r="U78" i="1"/>
  <c r="V78" i="1"/>
  <c r="W78" i="1"/>
  <c r="K79" i="1"/>
  <c r="M79" i="1"/>
  <c r="N79" i="1"/>
  <c r="O79" i="1"/>
  <c r="P79" i="1"/>
  <c r="Q79" i="1"/>
  <c r="R79" i="1"/>
  <c r="S79" i="1"/>
  <c r="T79" i="1"/>
  <c r="U79" i="1"/>
  <c r="V79" i="1"/>
  <c r="W79" i="1"/>
  <c r="K80" i="1"/>
  <c r="M80" i="1"/>
  <c r="N80" i="1"/>
  <c r="O80" i="1"/>
  <c r="P80" i="1"/>
  <c r="Q80" i="1"/>
  <c r="R80" i="1"/>
  <c r="S80" i="1"/>
  <c r="T80" i="1"/>
  <c r="U80" i="1"/>
  <c r="V80" i="1"/>
  <c r="W80" i="1"/>
  <c r="K81" i="1"/>
  <c r="M81" i="1"/>
  <c r="N81" i="1"/>
  <c r="O81" i="1"/>
  <c r="P81" i="1"/>
  <c r="Q81" i="1"/>
  <c r="R81" i="1"/>
  <c r="S81" i="1"/>
  <c r="T81" i="1"/>
  <c r="U81" i="1"/>
  <c r="V81" i="1"/>
  <c r="W81" i="1"/>
  <c r="K82" i="1"/>
  <c r="M82" i="1"/>
  <c r="N82" i="1"/>
  <c r="O82" i="1"/>
  <c r="P82" i="1"/>
  <c r="Q82" i="1"/>
  <c r="R82" i="1"/>
  <c r="S82" i="1"/>
  <c r="T82" i="1"/>
  <c r="U82" i="1"/>
  <c r="V82" i="1"/>
  <c r="W82" i="1"/>
  <c r="K83" i="1"/>
  <c r="M83" i="1"/>
  <c r="N83" i="1"/>
  <c r="O83" i="1"/>
  <c r="P83" i="1"/>
  <c r="Q83" i="1"/>
  <c r="R83" i="1"/>
  <c r="S83" i="1"/>
  <c r="T83" i="1"/>
  <c r="U83" i="1"/>
  <c r="V83" i="1"/>
  <c r="W83" i="1"/>
  <c r="K84" i="1"/>
  <c r="M84" i="1"/>
  <c r="N84" i="1"/>
  <c r="O84" i="1"/>
  <c r="P84" i="1"/>
  <c r="Q84" i="1"/>
  <c r="R84" i="1"/>
  <c r="S84" i="1"/>
  <c r="T84" i="1"/>
  <c r="U84" i="1"/>
  <c r="V84" i="1"/>
  <c r="W84" i="1"/>
  <c r="K85" i="1"/>
  <c r="M85" i="1"/>
  <c r="N85" i="1"/>
  <c r="O85" i="1"/>
  <c r="P85" i="1"/>
  <c r="Q85" i="1"/>
  <c r="R85" i="1"/>
  <c r="S85" i="1"/>
  <c r="T85" i="1"/>
  <c r="U85" i="1"/>
  <c r="V85" i="1"/>
  <c r="W85" i="1"/>
  <c r="K86" i="1"/>
  <c r="M86" i="1"/>
  <c r="N86" i="1"/>
  <c r="O86" i="1"/>
  <c r="P86" i="1"/>
  <c r="Q86" i="1"/>
  <c r="R86" i="1"/>
  <c r="S86" i="1"/>
  <c r="T86" i="1"/>
  <c r="U86" i="1"/>
  <c r="V86" i="1"/>
  <c r="W86" i="1"/>
  <c r="K87" i="1"/>
  <c r="M87" i="1"/>
  <c r="N87" i="1"/>
  <c r="O87" i="1"/>
  <c r="P87" i="1"/>
  <c r="Q87" i="1"/>
  <c r="R87" i="1"/>
  <c r="S87" i="1"/>
  <c r="T87" i="1"/>
  <c r="U87" i="1"/>
  <c r="V87" i="1"/>
  <c r="W87" i="1"/>
  <c r="K88" i="1"/>
  <c r="M88" i="1"/>
  <c r="N88" i="1"/>
  <c r="O88" i="1"/>
  <c r="P88" i="1"/>
  <c r="Q88" i="1"/>
  <c r="R88" i="1"/>
  <c r="S88" i="1"/>
  <c r="T88" i="1"/>
  <c r="U88" i="1"/>
  <c r="V88" i="1"/>
  <c r="W88" i="1"/>
  <c r="K89" i="1"/>
  <c r="M89" i="1"/>
  <c r="N89" i="1"/>
  <c r="O89" i="1"/>
  <c r="P89" i="1"/>
  <c r="Q89" i="1"/>
  <c r="R89" i="1"/>
  <c r="S89" i="1"/>
  <c r="T89" i="1"/>
  <c r="U89" i="1"/>
  <c r="V89" i="1"/>
  <c r="W89" i="1"/>
  <c r="K90" i="1"/>
  <c r="M90" i="1"/>
  <c r="N90" i="1"/>
  <c r="O90" i="1"/>
  <c r="P90" i="1"/>
  <c r="Q90" i="1"/>
  <c r="R90" i="1"/>
  <c r="S90" i="1"/>
  <c r="T90" i="1"/>
  <c r="U90" i="1"/>
  <c r="V90" i="1"/>
  <c r="W90" i="1"/>
  <c r="K91" i="1"/>
  <c r="M91" i="1"/>
  <c r="N91" i="1"/>
  <c r="O91" i="1"/>
  <c r="P91" i="1"/>
  <c r="Q91" i="1"/>
  <c r="R91" i="1"/>
  <c r="S91" i="1"/>
  <c r="T91" i="1"/>
  <c r="U91" i="1"/>
  <c r="V91" i="1"/>
  <c r="W91" i="1"/>
  <c r="K92" i="1"/>
  <c r="M92" i="1"/>
  <c r="N92" i="1"/>
  <c r="O92" i="1"/>
  <c r="P92" i="1"/>
  <c r="Q92" i="1"/>
  <c r="R92" i="1"/>
  <c r="S92" i="1"/>
  <c r="T92" i="1"/>
  <c r="U92" i="1"/>
  <c r="V92" i="1"/>
  <c r="W92" i="1"/>
  <c r="K93" i="1"/>
  <c r="M93" i="1"/>
  <c r="N93" i="1"/>
  <c r="O93" i="1"/>
  <c r="P93" i="1"/>
  <c r="Q93" i="1"/>
  <c r="R93" i="1"/>
  <c r="S93" i="1"/>
  <c r="T93" i="1"/>
  <c r="U93" i="1"/>
  <c r="V93" i="1"/>
  <c r="W93" i="1"/>
  <c r="K94" i="1"/>
  <c r="M94" i="1"/>
  <c r="N94" i="1"/>
  <c r="O94" i="1"/>
  <c r="P94" i="1"/>
  <c r="Q94" i="1"/>
  <c r="R94" i="1"/>
  <c r="S94" i="1"/>
  <c r="T94" i="1"/>
  <c r="U94" i="1"/>
  <c r="V94" i="1"/>
  <c r="W94" i="1"/>
  <c r="K95" i="1"/>
  <c r="M95" i="1"/>
  <c r="N95" i="1"/>
  <c r="O95" i="1"/>
  <c r="P95" i="1"/>
  <c r="Q95" i="1"/>
  <c r="R95" i="1"/>
  <c r="S95" i="1"/>
  <c r="T95" i="1"/>
  <c r="U95" i="1"/>
  <c r="V95" i="1"/>
  <c r="W95" i="1"/>
  <c r="K96" i="1"/>
  <c r="M96" i="1"/>
  <c r="N96" i="1"/>
  <c r="O96" i="1"/>
  <c r="P96" i="1"/>
  <c r="Q96" i="1"/>
  <c r="R96" i="1"/>
  <c r="S96" i="1"/>
  <c r="T96" i="1"/>
  <c r="U96" i="1"/>
  <c r="V96" i="1"/>
  <c r="W96" i="1"/>
  <c r="K97" i="1"/>
  <c r="M97" i="1"/>
  <c r="N97" i="1"/>
  <c r="O97" i="1"/>
  <c r="P97" i="1"/>
  <c r="Q97" i="1"/>
  <c r="R97" i="1"/>
  <c r="S97" i="1"/>
  <c r="T97" i="1"/>
  <c r="U97" i="1"/>
  <c r="V97" i="1"/>
  <c r="W97" i="1"/>
  <c r="K98" i="1"/>
  <c r="M98" i="1"/>
  <c r="N98" i="1"/>
  <c r="O98" i="1"/>
  <c r="P98" i="1"/>
  <c r="Q98" i="1"/>
  <c r="R98" i="1"/>
  <c r="S98" i="1"/>
  <c r="T98" i="1"/>
  <c r="U98" i="1"/>
  <c r="V98" i="1"/>
  <c r="W98" i="1"/>
  <c r="K99" i="1"/>
  <c r="M99" i="1"/>
  <c r="N99" i="1"/>
  <c r="O99" i="1"/>
  <c r="P99" i="1"/>
  <c r="Q99" i="1"/>
  <c r="R99" i="1"/>
  <c r="S99" i="1"/>
  <c r="T99" i="1"/>
  <c r="U99" i="1"/>
  <c r="V99" i="1"/>
  <c r="W99" i="1"/>
  <c r="K100" i="1"/>
  <c r="M100" i="1"/>
  <c r="N100" i="1"/>
  <c r="O100" i="1"/>
  <c r="P100" i="1"/>
  <c r="Q100" i="1"/>
  <c r="R100" i="1"/>
  <c r="S100" i="1"/>
  <c r="T100" i="1"/>
  <c r="U100" i="1"/>
  <c r="V100" i="1"/>
  <c r="W100" i="1"/>
  <c r="K101" i="1"/>
  <c r="M101" i="1"/>
  <c r="N101" i="1"/>
  <c r="O101" i="1"/>
  <c r="P101" i="1"/>
  <c r="Q101" i="1"/>
  <c r="R101" i="1"/>
  <c r="S101" i="1"/>
  <c r="T101" i="1"/>
  <c r="U101" i="1"/>
  <c r="V101" i="1"/>
  <c r="W101" i="1"/>
  <c r="K102" i="1"/>
  <c r="M102" i="1"/>
  <c r="N102" i="1"/>
  <c r="O102" i="1"/>
  <c r="P102" i="1"/>
  <c r="Q102" i="1"/>
  <c r="R102" i="1"/>
  <c r="S102" i="1"/>
  <c r="T102" i="1"/>
  <c r="U102" i="1"/>
  <c r="V102" i="1"/>
  <c r="W102" i="1"/>
  <c r="K103" i="1"/>
  <c r="M103" i="1"/>
  <c r="N103" i="1"/>
  <c r="O103" i="1"/>
  <c r="P103" i="1"/>
  <c r="Q103" i="1"/>
  <c r="R103" i="1"/>
  <c r="S103" i="1"/>
  <c r="T103" i="1"/>
  <c r="U103" i="1"/>
  <c r="V103" i="1"/>
  <c r="W103" i="1"/>
  <c r="K104" i="1"/>
  <c r="M104" i="1"/>
  <c r="N104" i="1"/>
  <c r="O104" i="1"/>
  <c r="P104" i="1"/>
  <c r="Q104" i="1"/>
  <c r="R104" i="1"/>
  <c r="S104" i="1"/>
  <c r="T104" i="1"/>
  <c r="U104" i="1"/>
  <c r="V104" i="1"/>
  <c r="W104" i="1"/>
  <c r="K105" i="1"/>
  <c r="M105" i="1"/>
  <c r="N105" i="1"/>
  <c r="O105" i="1"/>
  <c r="P105" i="1"/>
  <c r="Q105" i="1"/>
  <c r="R105" i="1"/>
  <c r="S105" i="1"/>
  <c r="T105" i="1"/>
  <c r="U105" i="1"/>
  <c r="V105" i="1"/>
  <c r="W105" i="1"/>
  <c r="K106" i="1"/>
  <c r="M106" i="1"/>
  <c r="N106" i="1"/>
  <c r="O106" i="1"/>
  <c r="P106" i="1"/>
  <c r="Q106" i="1"/>
  <c r="R106" i="1"/>
  <c r="S106" i="1"/>
  <c r="T106" i="1"/>
  <c r="U106" i="1"/>
  <c r="V106" i="1"/>
  <c r="W106" i="1"/>
  <c r="K107" i="1"/>
  <c r="M107" i="1"/>
  <c r="N107" i="1"/>
  <c r="O107" i="1"/>
  <c r="P107" i="1"/>
  <c r="Q107" i="1"/>
  <c r="R107" i="1"/>
  <c r="S107" i="1"/>
  <c r="T107" i="1"/>
  <c r="U107" i="1"/>
  <c r="V107" i="1"/>
  <c r="W107" i="1"/>
  <c r="K108" i="1"/>
  <c r="M108" i="1"/>
  <c r="N108" i="1"/>
  <c r="O108" i="1"/>
  <c r="P108" i="1"/>
  <c r="Q108" i="1"/>
  <c r="R108" i="1"/>
  <c r="S108" i="1"/>
  <c r="T108" i="1"/>
  <c r="U108" i="1"/>
  <c r="V108" i="1"/>
  <c r="W108" i="1"/>
  <c r="K109" i="1"/>
  <c r="M109" i="1"/>
  <c r="N109" i="1"/>
  <c r="O109" i="1"/>
  <c r="P109" i="1"/>
  <c r="Q109" i="1"/>
  <c r="R109" i="1"/>
  <c r="S109" i="1"/>
  <c r="T109" i="1"/>
  <c r="U109" i="1"/>
  <c r="V109" i="1"/>
  <c r="W109" i="1"/>
  <c r="K110" i="1"/>
  <c r="M110" i="1"/>
  <c r="N110" i="1"/>
  <c r="O110" i="1"/>
  <c r="P110" i="1"/>
  <c r="Q110" i="1"/>
  <c r="R110" i="1"/>
  <c r="S110" i="1"/>
  <c r="T110" i="1"/>
  <c r="U110" i="1"/>
  <c r="V110" i="1"/>
  <c r="W110" i="1"/>
  <c r="K111" i="1"/>
  <c r="M111" i="1"/>
  <c r="N111" i="1"/>
  <c r="O111" i="1"/>
  <c r="P111" i="1"/>
  <c r="Q111" i="1"/>
  <c r="R111" i="1"/>
  <c r="S111" i="1"/>
  <c r="T111" i="1"/>
  <c r="U111" i="1"/>
  <c r="V111" i="1"/>
  <c r="W111" i="1"/>
  <c r="K112" i="1"/>
  <c r="M112" i="1"/>
  <c r="N112" i="1"/>
  <c r="O112" i="1"/>
  <c r="P112" i="1"/>
  <c r="Q112" i="1"/>
  <c r="R112" i="1"/>
  <c r="S112" i="1"/>
  <c r="T112" i="1"/>
  <c r="U112" i="1"/>
  <c r="V112" i="1"/>
  <c r="W112" i="1"/>
  <c r="K113" i="1"/>
  <c r="M113" i="1"/>
  <c r="N113" i="1"/>
  <c r="O113" i="1"/>
  <c r="P113" i="1"/>
  <c r="Q113" i="1"/>
  <c r="R113" i="1"/>
  <c r="S113" i="1"/>
  <c r="T113" i="1"/>
  <c r="U113" i="1"/>
  <c r="V113" i="1"/>
  <c r="W113" i="1"/>
  <c r="K114" i="1"/>
  <c r="M114" i="1"/>
  <c r="N114" i="1"/>
  <c r="O114" i="1"/>
  <c r="P114" i="1"/>
  <c r="Q114" i="1"/>
  <c r="R114" i="1"/>
  <c r="S114" i="1"/>
  <c r="T114" i="1"/>
  <c r="U114" i="1"/>
  <c r="V114" i="1"/>
  <c r="W114" i="1"/>
  <c r="K115" i="1"/>
  <c r="M115" i="1"/>
  <c r="N115" i="1"/>
  <c r="O115" i="1"/>
  <c r="P115" i="1"/>
  <c r="Q115" i="1"/>
  <c r="R115" i="1"/>
  <c r="S115" i="1"/>
  <c r="T115" i="1"/>
  <c r="U115" i="1"/>
  <c r="V115" i="1"/>
  <c r="W115" i="1"/>
  <c r="K116" i="1"/>
  <c r="M116" i="1"/>
  <c r="N116" i="1"/>
  <c r="O116" i="1"/>
  <c r="P116" i="1"/>
  <c r="Q116" i="1"/>
  <c r="R116" i="1"/>
  <c r="S116" i="1"/>
  <c r="T116" i="1"/>
  <c r="U116" i="1"/>
  <c r="V116" i="1"/>
  <c r="W116" i="1"/>
  <c r="K117" i="1"/>
  <c r="M117" i="1"/>
  <c r="N117" i="1"/>
  <c r="O117" i="1"/>
  <c r="P117" i="1"/>
  <c r="Q117" i="1"/>
  <c r="R117" i="1"/>
  <c r="S117" i="1"/>
  <c r="T117" i="1"/>
  <c r="U117" i="1"/>
  <c r="V117" i="1"/>
  <c r="W117" i="1"/>
  <c r="K118" i="1"/>
  <c r="M118" i="1"/>
  <c r="N118" i="1"/>
  <c r="O118" i="1"/>
  <c r="P118" i="1"/>
  <c r="Q118" i="1"/>
  <c r="R118" i="1"/>
  <c r="S118" i="1"/>
  <c r="T118" i="1"/>
  <c r="U118" i="1"/>
  <c r="V118" i="1"/>
  <c r="W118" i="1"/>
  <c r="K119" i="1"/>
  <c r="M119" i="1"/>
  <c r="N119" i="1"/>
  <c r="O119" i="1"/>
  <c r="P119" i="1"/>
  <c r="Q119" i="1"/>
  <c r="R119" i="1"/>
  <c r="S119" i="1"/>
  <c r="T119" i="1"/>
  <c r="U119" i="1"/>
  <c r="V119" i="1"/>
  <c r="W119" i="1"/>
  <c r="K120" i="1"/>
  <c r="M120" i="1"/>
  <c r="N120" i="1"/>
  <c r="O120" i="1"/>
  <c r="P120" i="1"/>
  <c r="Q120" i="1"/>
  <c r="R120" i="1"/>
  <c r="S120" i="1"/>
  <c r="T120" i="1"/>
  <c r="U120" i="1"/>
  <c r="V120" i="1"/>
  <c r="W120" i="1"/>
  <c r="K121" i="1"/>
  <c r="M121" i="1"/>
  <c r="N121" i="1"/>
  <c r="O121" i="1"/>
  <c r="P121" i="1"/>
  <c r="Q121" i="1"/>
  <c r="R121" i="1"/>
  <c r="S121" i="1"/>
  <c r="T121" i="1"/>
  <c r="U121" i="1"/>
  <c r="V121" i="1"/>
  <c r="W121" i="1"/>
  <c r="K122" i="1"/>
  <c r="M122" i="1"/>
  <c r="N122" i="1"/>
  <c r="O122" i="1"/>
  <c r="P122" i="1"/>
  <c r="Q122" i="1"/>
  <c r="R122" i="1"/>
  <c r="S122" i="1"/>
  <c r="T122" i="1"/>
  <c r="U122" i="1"/>
  <c r="V122" i="1"/>
  <c r="W122" i="1"/>
  <c r="K123" i="1"/>
  <c r="M123" i="1"/>
  <c r="N123" i="1"/>
  <c r="O123" i="1"/>
  <c r="P123" i="1"/>
  <c r="Q123" i="1"/>
  <c r="R123" i="1"/>
  <c r="S123" i="1"/>
  <c r="T123" i="1"/>
  <c r="U123" i="1"/>
  <c r="V123" i="1"/>
  <c r="W123" i="1"/>
  <c r="K124" i="1"/>
  <c r="M124" i="1"/>
  <c r="N124" i="1"/>
  <c r="O124" i="1"/>
  <c r="P124" i="1"/>
  <c r="Q124" i="1"/>
  <c r="R124" i="1"/>
  <c r="S124" i="1"/>
  <c r="T124" i="1"/>
  <c r="U124" i="1"/>
  <c r="V124" i="1"/>
  <c r="W124" i="1"/>
  <c r="K125" i="1"/>
  <c r="M125" i="1"/>
  <c r="N125" i="1"/>
  <c r="O125" i="1"/>
  <c r="P125" i="1"/>
  <c r="Q125" i="1"/>
  <c r="R125" i="1"/>
  <c r="S125" i="1"/>
  <c r="T125" i="1"/>
  <c r="U125" i="1"/>
  <c r="V125" i="1"/>
  <c r="W125" i="1"/>
  <c r="K127" i="1"/>
  <c r="M127" i="1"/>
  <c r="N127" i="1"/>
  <c r="O127" i="1"/>
  <c r="P127" i="1"/>
  <c r="Q127" i="1"/>
  <c r="R127" i="1"/>
  <c r="S127" i="1"/>
  <c r="T127" i="1"/>
  <c r="U127" i="1"/>
  <c r="V127" i="1"/>
  <c r="W127" i="1"/>
  <c r="K128" i="1"/>
  <c r="M128" i="1"/>
  <c r="N128" i="1"/>
  <c r="O128" i="1"/>
  <c r="P128" i="1"/>
  <c r="Q128" i="1"/>
  <c r="R128" i="1"/>
  <c r="S128" i="1"/>
  <c r="T128" i="1"/>
  <c r="U128" i="1"/>
  <c r="V128" i="1"/>
  <c r="W128" i="1"/>
  <c r="K129" i="1"/>
  <c r="M129" i="1"/>
  <c r="N129" i="1"/>
  <c r="O129" i="1"/>
  <c r="P129" i="1"/>
  <c r="Q129" i="1"/>
  <c r="R129" i="1"/>
  <c r="S129" i="1"/>
  <c r="T129" i="1"/>
  <c r="U129" i="1"/>
  <c r="V129" i="1"/>
  <c r="W129" i="1"/>
  <c r="K130" i="1"/>
  <c r="M130" i="1"/>
  <c r="N130" i="1"/>
  <c r="O130" i="1"/>
  <c r="P130" i="1"/>
  <c r="Q130" i="1"/>
  <c r="R130" i="1"/>
  <c r="S130" i="1"/>
  <c r="T130" i="1"/>
  <c r="U130" i="1"/>
  <c r="V130" i="1"/>
  <c r="W130" i="1"/>
  <c r="K131" i="1"/>
  <c r="M131" i="1"/>
  <c r="N131" i="1"/>
  <c r="O131" i="1"/>
  <c r="P131" i="1"/>
  <c r="Q131" i="1"/>
  <c r="R131" i="1"/>
  <c r="S131" i="1"/>
  <c r="T131" i="1"/>
  <c r="U131" i="1"/>
  <c r="V131" i="1"/>
  <c r="W131" i="1"/>
  <c r="K132" i="1"/>
  <c r="M132" i="1"/>
  <c r="N132" i="1"/>
  <c r="O132" i="1"/>
  <c r="P132" i="1"/>
  <c r="Q132" i="1"/>
  <c r="R132" i="1"/>
  <c r="S132" i="1"/>
  <c r="T132" i="1"/>
  <c r="U132" i="1"/>
  <c r="V132" i="1"/>
  <c r="W132" i="1"/>
  <c r="K133" i="1"/>
  <c r="M133" i="1"/>
  <c r="N133" i="1"/>
  <c r="O133" i="1"/>
  <c r="P133" i="1"/>
  <c r="Q133" i="1"/>
  <c r="R133" i="1"/>
  <c r="S133" i="1"/>
  <c r="T133" i="1"/>
  <c r="U133" i="1"/>
  <c r="V133" i="1"/>
  <c r="W133" i="1"/>
  <c r="K134" i="1"/>
  <c r="M134" i="1"/>
  <c r="N134" i="1"/>
  <c r="O134" i="1"/>
  <c r="P134" i="1"/>
  <c r="Q134" i="1"/>
  <c r="R134" i="1"/>
  <c r="S134" i="1"/>
  <c r="T134" i="1"/>
  <c r="U134" i="1"/>
  <c r="V134" i="1"/>
  <c r="W134" i="1"/>
  <c r="K135" i="1"/>
  <c r="M135" i="1"/>
  <c r="N135" i="1"/>
  <c r="O135" i="1"/>
  <c r="P135" i="1"/>
  <c r="Q135" i="1"/>
  <c r="R135" i="1"/>
  <c r="S135" i="1"/>
  <c r="T135" i="1"/>
  <c r="U135" i="1"/>
  <c r="V135" i="1"/>
  <c r="W135" i="1"/>
  <c r="K136" i="1"/>
  <c r="M136" i="1"/>
  <c r="N136" i="1"/>
  <c r="O136" i="1"/>
  <c r="P136" i="1"/>
  <c r="Q136" i="1"/>
  <c r="R136" i="1"/>
  <c r="S136" i="1"/>
  <c r="T136" i="1"/>
  <c r="U136" i="1"/>
  <c r="V136" i="1"/>
  <c r="W136" i="1"/>
  <c r="K137" i="1"/>
  <c r="M137" i="1"/>
  <c r="N137" i="1"/>
  <c r="O137" i="1"/>
  <c r="P137" i="1"/>
  <c r="Q137" i="1"/>
  <c r="R137" i="1"/>
  <c r="S137" i="1"/>
  <c r="T137" i="1"/>
  <c r="U137" i="1"/>
  <c r="V137" i="1"/>
  <c r="W137" i="1"/>
  <c r="K138" i="1"/>
  <c r="M138" i="1"/>
  <c r="N138" i="1"/>
  <c r="O138" i="1"/>
  <c r="P138" i="1"/>
  <c r="Q138" i="1"/>
  <c r="R138" i="1"/>
  <c r="S138" i="1"/>
  <c r="T138" i="1"/>
  <c r="U138" i="1"/>
  <c r="V138" i="1"/>
  <c r="W138" i="1"/>
  <c r="K139" i="1"/>
  <c r="M139" i="1"/>
  <c r="N139" i="1"/>
  <c r="O139" i="1"/>
  <c r="P139" i="1"/>
  <c r="Q139" i="1"/>
  <c r="R139" i="1"/>
  <c r="S139" i="1"/>
  <c r="T139" i="1"/>
  <c r="U139" i="1"/>
  <c r="V139" i="1"/>
  <c r="W139" i="1"/>
  <c r="K140" i="1"/>
  <c r="M140" i="1"/>
  <c r="N140" i="1"/>
  <c r="O140" i="1"/>
  <c r="P140" i="1"/>
  <c r="Q140" i="1"/>
  <c r="R140" i="1"/>
  <c r="S140" i="1"/>
  <c r="T140" i="1"/>
  <c r="U140" i="1"/>
  <c r="V140" i="1"/>
  <c r="W140" i="1"/>
  <c r="K141" i="1"/>
  <c r="M141" i="1"/>
  <c r="N141" i="1"/>
  <c r="O141" i="1"/>
  <c r="P141" i="1"/>
  <c r="Q141" i="1"/>
  <c r="R141" i="1"/>
  <c r="S141" i="1"/>
  <c r="T141" i="1"/>
  <c r="U141" i="1"/>
  <c r="V141" i="1"/>
  <c r="W141" i="1"/>
  <c r="K142" i="1"/>
  <c r="M142" i="1"/>
  <c r="N142" i="1"/>
  <c r="O142" i="1"/>
  <c r="P142" i="1"/>
  <c r="Q142" i="1"/>
  <c r="R142" i="1"/>
  <c r="S142" i="1"/>
  <c r="T142" i="1"/>
  <c r="U142" i="1"/>
  <c r="V142" i="1"/>
  <c r="W142" i="1"/>
  <c r="K143" i="1"/>
  <c r="M143" i="1"/>
  <c r="N143" i="1"/>
  <c r="O143" i="1"/>
  <c r="P143" i="1"/>
  <c r="Q143" i="1"/>
  <c r="R143" i="1"/>
  <c r="S143" i="1"/>
  <c r="T143" i="1"/>
  <c r="U143" i="1"/>
  <c r="V143" i="1"/>
  <c r="W143" i="1"/>
  <c r="K144" i="1"/>
  <c r="M144" i="1"/>
  <c r="N144" i="1"/>
  <c r="O144" i="1"/>
  <c r="P144" i="1"/>
  <c r="Q144" i="1"/>
  <c r="R144" i="1"/>
  <c r="S144" i="1"/>
  <c r="T144" i="1"/>
  <c r="U144" i="1"/>
  <c r="V144" i="1"/>
  <c r="W144" i="1"/>
  <c r="K145" i="1"/>
  <c r="M145" i="1"/>
  <c r="N145" i="1"/>
  <c r="O145" i="1"/>
  <c r="P145" i="1"/>
  <c r="Q145" i="1"/>
  <c r="R145" i="1"/>
  <c r="S145" i="1"/>
  <c r="T145" i="1"/>
  <c r="U145" i="1"/>
  <c r="V145" i="1"/>
  <c r="W145" i="1"/>
  <c r="K146" i="1"/>
  <c r="M146" i="1"/>
  <c r="N146" i="1"/>
  <c r="O146" i="1"/>
  <c r="P146" i="1"/>
  <c r="Q146" i="1"/>
  <c r="R146" i="1"/>
  <c r="S146" i="1"/>
  <c r="T146" i="1"/>
  <c r="U146" i="1"/>
  <c r="V146" i="1"/>
  <c r="W146" i="1"/>
  <c r="K147" i="1"/>
  <c r="M147" i="1"/>
  <c r="N147" i="1"/>
  <c r="O147" i="1"/>
  <c r="P147" i="1"/>
  <c r="Q147" i="1"/>
  <c r="R147" i="1"/>
  <c r="S147" i="1"/>
  <c r="T147" i="1"/>
  <c r="U147" i="1"/>
  <c r="V147" i="1"/>
  <c r="W147" i="1"/>
  <c r="K148" i="1"/>
  <c r="M148" i="1"/>
  <c r="N148" i="1"/>
  <c r="O148" i="1"/>
  <c r="P148" i="1"/>
  <c r="Q148" i="1"/>
  <c r="R148" i="1"/>
  <c r="S148" i="1"/>
  <c r="T148" i="1"/>
  <c r="U148" i="1"/>
  <c r="V148" i="1"/>
  <c r="W148" i="1"/>
  <c r="K149" i="1"/>
  <c r="M149" i="1"/>
  <c r="N149" i="1"/>
  <c r="O149" i="1"/>
  <c r="P149" i="1"/>
  <c r="Q149" i="1"/>
  <c r="R149" i="1"/>
  <c r="S149" i="1"/>
  <c r="T149" i="1"/>
  <c r="U149" i="1"/>
  <c r="V149" i="1"/>
  <c r="W149" i="1"/>
  <c r="K150" i="1"/>
  <c r="M150" i="1"/>
  <c r="N150" i="1"/>
  <c r="O150" i="1"/>
  <c r="P150" i="1"/>
  <c r="Q150" i="1"/>
  <c r="R150" i="1"/>
  <c r="S150" i="1"/>
  <c r="T150" i="1"/>
  <c r="U150" i="1"/>
  <c r="V150" i="1"/>
  <c r="W150" i="1"/>
  <c r="K151" i="1"/>
  <c r="M151" i="1"/>
  <c r="N151" i="1"/>
  <c r="O151" i="1"/>
  <c r="P151" i="1"/>
  <c r="Q151" i="1"/>
  <c r="R151" i="1"/>
  <c r="S151" i="1"/>
  <c r="T151" i="1"/>
  <c r="U151" i="1"/>
  <c r="V151" i="1"/>
  <c r="W151" i="1"/>
  <c r="K152" i="1"/>
  <c r="M152" i="1"/>
  <c r="N152" i="1"/>
  <c r="O152" i="1"/>
  <c r="P152" i="1"/>
  <c r="Q152" i="1"/>
  <c r="R152" i="1"/>
  <c r="S152" i="1"/>
  <c r="T152" i="1"/>
  <c r="U152" i="1"/>
  <c r="V152" i="1"/>
  <c r="W152" i="1"/>
  <c r="K153" i="1"/>
  <c r="M153" i="1"/>
  <c r="N153" i="1"/>
  <c r="O153" i="1"/>
  <c r="P153" i="1"/>
  <c r="Q153" i="1"/>
  <c r="R153" i="1"/>
  <c r="S153" i="1"/>
  <c r="T153" i="1"/>
  <c r="U153" i="1"/>
  <c r="V153" i="1"/>
  <c r="W153" i="1"/>
  <c r="K154" i="1"/>
  <c r="M154" i="1"/>
  <c r="N154" i="1"/>
  <c r="O154" i="1"/>
  <c r="P154" i="1"/>
  <c r="Q154" i="1"/>
  <c r="R154" i="1"/>
  <c r="S154" i="1"/>
  <c r="T154" i="1"/>
  <c r="U154" i="1"/>
  <c r="V154" i="1"/>
  <c r="W154" i="1"/>
  <c r="K155" i="1"/>
  <c r="M155" i="1"/>
  <c r="N155" i="1"/>
  <c r="O155" i="1"/>
  <c r="P155" i="1"/>
  <c r="Q155" i="1"/>
  <c r="R155" i="1"/>
  <c r="S155" i="1"/>
  <c r="T155" i="1"/>
  <c r="U155" i="1"/>
  <c r="V155" i="1"/>
  <c r="W155" i="1"/>
  <c r="K156" i="1"/>
  <c r="M156" i="1"/>
  <c r="N156" i="1"/>
  <c r="O156" i="1"/>
  <c r="P156" i="1"/>
  <c r="Q156" i="1"/>
  <c r="R156" i="1"/>
  <c r="S156" i="1"/>
  <c r="T156" i="1"/>
  <c r="U156" i="1"/>
  <c r="V156" i="1"/>
  <c r="W156" i="1"/>
  <c r="K157" i="1"/>
  <c r="M157" i="1"/>
  <c r="N157" i="1"/>
  <c r="O157" i="1"/>
  <c r="P157" i="1"/>
  <c r="Q157" i="1"/>
  <c r="R157" i="1"/>
  <c r="S157" i="1"/>
  <c r="T157" i="1"/>
  <c r="U157" i="1"/>
  <c r="V157" i="1"/>
  <c r="W157" i="1"/>
  <c r="K158" i="1"/>
  <c r="M158" i="1"/>
  <c r="N158" i="1"/>
  <c r="O158" i="1"/>
  <c r="P158" i="1"/>
  <c r="Q158" i="1"/>
  <c r="R158" i="1"/>
  <c r="S158" i="1"/>
  <c r="T158" i="1"/>
  <c r="U158" i="1"/>
  <c r="V158" i="1"/>
  <c r="W158" i="1"/>
  <c r="K159" i="1"/>
  <c r="M159" i="1"/>
  <c r="N159" i="1"/>
  <c r="O159" i="1"/>
  <c r="P159" i="1"/>
  <c r="Q159" i="1"/>
  <c r="R159" i="1"/>
  <c r="S159" i="1"/>
  <c r="T159" i="1"/>
  <c r="U159" i="1"/>
  <c r="V159" i="1"/>
  <c r="W159" i="1"/>
  <c r="K160" i="1"/>
  <c r="M160" i="1"/>
  <c r="N160" i="1"/>
  <c r="O160" i="1"/>
  <c r="P160" i="1"/>
  <c r="Q160" i="1"/>
  <c r="R160" i="1"/>
  <c r="S160" i="1"/>
  <c r="T160" i="1"/>
  <c r="U160" i="1"/>
  <c r="V160" i="1"/>
  <c r="W160" i="1"/>
  <c r="K161" i="1"/>
  <c r="M161" i="1"/>
  <c r="N161" i="1"/>
  <c r="O161" i="1"/>
  <c r="P161" i="1"/>
  <c r="Q161" i="1"/>
  <c r="R161" i="1"/>
  <c r="S161" i="1"/>
  <c r="T161" i="1"/>
  <c r="U161" i="1"/>
  <c r="V161" i="1"/>
  <c r="W161" i="1"/>
  <c r="K162" i="1"/>
  <c r="M162" i="1"/>
  <c r="N162" i="1"/>
  <c r="O162" i="1"/>
  <c r="P162" i="1"/>
  <c r="Q162" i="1"/>
  <c r="R162" i="1"/>
  <c r="S162" i="1"/>
  <c r="T162" i="1"/>
  <c r="U162" i="1"/>
  <c r="V162" i="1"/>
  <c r="W162" i="1"/>
  <c r="K163" i="1"/>
  <c r="M163" i="1"/>
  <c r="N163" i="1"/>
  <c r="O163" i="1"/>
  <c r="P163" i="1"/>
  <c r="Q163" i="1"/>
  <c r="R163" i="1"/>
  <c r="S163" i="1"/>
  <c r="T163" i="1"/>
  <c r="U163" i="1"/>
  <c r="V163" i="1"/>
  <c r="W163" i="1"/>
  <c r="K164" i="1"/>
  <c r="M164" i="1"/>
  <c r="N164" i="1"/>
  <c r="O164" i="1"/>
  <c r="P164" i="1"/>
  <c r="Q164" i="1"/>
  <c r="R164" i="1"/>
  <c r="S164" i="1"/>
  <c r="T164" i="1"/>
  <c r="U164" i="1"/>
  <c r="V164" i="1"/>
  <c r="W164" i="1"/>
  <c r="K165" i="1"/>
  <c r="M165" i="1"/>
  <c r="N165" i="1"/>
  <c r="O165" i="1"/>
  <c r="P165" i="1"/>
  <c r="Q165" i="1"/>
  <c r="R165" i="1"/>
  <c r="S165" i="1"/>
  <c r="T165" i="1"/>
  <c r="U165" i="1"/>
  <c r="V165" i="1"/>
  <c r="W165" i="1"/>
  <c r="K166" i="1"/>
  <c r="M166" i="1"/>
  <c r="N166" i="1"/>
  <c r="O166" i="1"/>
  <c r="P166" i="1"/>
  <c r="Q166" i="1"/>
  <c r="R166" i="1"/>
  <c r="S166" i="1"/>
  <c r="T166" i="1"/>
  <c r="U166" i="1"/>
  <c r="V166" i="1"/>
  <c r="W166" i="1"/>
  <c r="K167" i="1"/>
  <c r="M167" i="1"/>
  <c r="N167" i="1"/>
  <c r="O167" i="1"/>
  <c r="P167" i="1"/>
  <c r="Q167" i="1"/>
  <c r="R167" i="1"/>
  <c r="S167" i="1"/>
  <c r="T167" i="1"/>
  <c r="U167" i="1"/>
  <c r="V167" i="1"/>
  <c r="W167" i="1"/>
  <c r="K168" i="1"/>
  <c r="M168" i="1"/>
  <c r="N168" i="1"/>
  <c r="O168" i="1"/>
  <c r="P168" i="1"/>
  <c r="Q168" i="1"/>
  <c r="R168" i="1"/>
  <c r="S168" i="1"/>
  <c r="T168" i="1"/>
  <c r="U168" i="1"/>
  <c r="V168" i="1"/>
  <c r="W168" i="1"/>
  <c r="K169" i="1"/>
  <c r="M169" i="1"/>
  <c r="N169" i="1"/>
  <c r="O169" i="1"/>
  <c r="P169" i="1"/>
  <c r="Q169" i="1"/>
  <c r="R169" i="1"/>
  <c r="S169" i="1"/>
  <c r="T169" i="1"/>
  <c r="U169" i="1"/>
  <c r="V169" i="1"/>
  <c r="W169" i="1"/>
  <c r="K170" i="1"/>
  <c r="M170" i="1"/>
  <c r="N170" i="1"/>
  <c r="O170" i="1"/>
  <c r="P170" i="1"/>
  <c r="Q170" i="1"/>
  <c r="R170" i="1"/>
  <c r="S170" i="1"/>
  <c r="T170" i="1"/>
  <c r="U170" i="1"/>
  <c r="V170" i="1"/>
  <c r="W170" i="1"/>
  <c r="K171" i="1"/>
  <c r="M171" i="1"/>
  <c r="N171" i="1"/>
  <c r="O171" i="1"/>
  <c r="P171" i="1"/>
  <c r="Q171" i="1"/>
  <c r="R171" i="1"/>
  <c r="S171" i="1"/>
  <c r="T171" i="1"/>
  <c r="U171" i="1"/>
  <c r="V171" i="1"/>
  <c r="W171" i="1"/>
  <c r="K172" i="1"/>
  <c r="M172" i="1"/>
  <c r="N172" i="1"/>
  <c r="O172" i="1"/>
  <c r="P172" i="1"/>
  <c r="Q172" i="1"/>
  <c r="R172" i="1"/>
  <c r="S172" i="1"/>
  <c r="T172" i="1"/>
  <c r="U172" i="1"/>
  <c r="V172" i="1"/>
  <c r="W172" i="1"/>
  <c r="K173" i="1"/>
  <c r="M173" i="1"/>
  <c r="N173" i="1"/>
  <c r="O173" i="1"/>
  <c r="P173" i="1"/>
  <c r="Q173" i="1"/>
  <c r="R173" i="1"/>
  <c r="S173" i="1"/>
  <c r="T173" i="1"/>
  <c r="U173" i="1"/>
  <c r="V173" i="1"/>
  <c r="W173" i="1"/>
  <c r="K174" i="1"/>
  <c r="M174" i="1"/>
  <c r="N174" i="1"/>
  <c r="O174" i="1"/>
  <c r="P174" i="1"/>
  <c r="Q174" i="1"/>
  <c r="R174" i="1"/>
  <c r="S174" i="1"/>
  <c r="T174" i="1"/>
  <c r="U174" i="1"/>
  <c r="V174" i="1"/>
  <c r="W174" i="1"/>
  <c r="K175" i="1"/>
  <c r="M175" i="1"/>
  <c r="N175" i="1"/>
  <c r="O175" i="1"/>
  <c r="P175" i="1"/>
  <c r="Q175" i="1"/>
  <c r="R175" i="1"/>
  <c r="S175" i="1"/>
  <c r="T175" i="1"/>
  <c r="U175" i="1"/>
  <c r="V175" i="1"/>
  <c r="W175" i="1"/>
  <c r="K176" i="1"/>
  <c r="M176" i="1"/>
  <c r="N176" i="1"/>
  <c r="O176" i="1"/>
  <c r="P176" i="1"/>
  <c r="Q176" i="1"/>
  <c r="R176" i="1"/>
  <c r="S176" i="1"/>
  <c r="T176" i="1"/>
  <c r="U176" i="1"/>
  <c r="V176" i="1"/>
  <c r="W176" i="1"/>
  <c r="K177" i="1"/>
  <c r="M177" i="1"/>
  <c r="N177" i="1"/>
  <c r="O177" i="1"/>
  <c r="P177" i="1"/>
  <c r="Q177" i="1"/>
  <c r="R177" i="1"/>
  <c r="S177" i="1"/>
  <c r="T177" i="1"/>
  <c r="U177" i="1"/>
  <c r="V177" i="1"/>
  <c r="W177" i="1"/>
  <c r="K178" i="1"/>
  <c r="M178" i="1"/>
  <c r="N178" i="1"/>
  <c r="O178" i="1"/>
  <c r="P178" i="1"/>
  <c r="Q178" i="1"/>
  <c r="R178" i="1"/>
  <c r="S178" i="1"/>
  <c r="T178" i="1"/>
  <c r="U178" i="1"/>
  <c r="V178" i="1"/>
  <c r="W178" i="1"/>
  <c r="K179" i="1"/>
  <c r="M179" i="1"/>
  <c r="N179" i="1"/>
  <c r="O179" i="1"/>
  <c r="P179" i="1"/>
  <c r="Q179" i="1"/>
  <c r="R179" i="1"/>
  <c r="S179" i="1"/>
  <c r="T179" i="1"/>
  <c r="U179" i="1"/>
  <c r="V179" i="1"/>
  <c r="W179" i="1"/>
  <c r="K180" i="1"/>
  <c r="M180" i="1"/>
  <c r="N180" i="1"/>
  <c r="O180" i="1"/>
  <c r="P180" i="1"/>
  <c r="Q180" i="1"/>
  <c r="R180" i="1"/>
  <c r="S180" i="1"/>
  <c r="T180" i="1"/>
  <c r="U180" i="1"/>
  <c r="V180" i="1"/>
  <c r="W180" i="1"/>
  <c r="K181" i="1"/>
  <c r="M181" i="1"/>
  <c r="N181" i="1"/>
  <c r="O181" i="1"/>
  <c r="P181" i="1"/>
  <c r="Q181" i="1"/>
  <c r="R181" i="1"/>
  <c r="S181" i="1"/>
  <c r="T181" i="1"/>
  <c r="U181" i="1"/>
  <c r="V181" i="1"/>
  <c r="W181" i="1"/>
  <c r="K182" i="1"/>
  <c r="M182" i="1"/>
  <c r="N182" i="1"/>
  <c r="O182" i="1"/>
  <c r="P182" i="1"/>
  <c r="Q182" i="1"/>
  <c r="R182" i="1"/>
  <c r="S182" i="1"/>
  <c r="T182" i="1"/>
  <c r="U182" i="1"/>
  <c r="V182" i="1"/>
  <c r="W182" i="1"/>
  <c r="K183" i="1"/>
  <c r="M183" i="1"/>
  <c r="N183" i="1"/>
  <c r="O183" i="1"/>
  <c r="P183" i="1"/>
  <c r="Q183" i="1"/>
  <c r="R183" i="1"/>
  <c r="S183" i="1"/>
  <c r="T183" i="1"/>
  <c r="U183" i="1"/>
  <c r="V183" i="1"/>
  <c r="W183" i="1"/>
  <c r="K184" i="1"/>
  <c r="M184" i="1"/>
  <c r="N184" i="1"/>
  <c r="O184" i="1"/>
  <c r="P184" i="1"/>
  <c r="Q184" i="1"/>
  <c r="R184" i="1"/>
  <c r="S184" i="1"/>
  <c r="T184" i="1"/>
  <c r="U184" i="1"/>
  <c r="V184" i="1"/>
  <c r="W184" i="1"/>
  <c r="K185" i="1"/>
  <c r="M185" i="1"/>
  <c r="N185" i="1"/>
  <c r="O185" i="1"/>
  <c r="P185" i="1"/>
  <c r="Q185" i="1"/>
  <c r="R185" i="1"/>
  <c r="S185" i="1"/>
  <c r="T185" i="1"/>
  <c r="U185" i="1"/>
  <c r="V185" i="1"/>
  <c r="W185" i="1"/>
  <c r="K186" i="1"/>
  <c r="M186" i="1"/>
  <c r="N186" i="1"/>
  <c r="O186" i="1"/>
  <c r="P186" i="1"/>
  <c r="Q186" i="1"/>
  <c r="R186" i="1"/>
  <c r="S186" i="1"/>
  <c r="T186" i="1"/>
  <c r="U186" i="1"/>
  <c r="V186" i="1"/>
  <c r="W186" i="1"/>
  <c r="K187" i="1"/>
  <c r="M187" i="1"/>
  <c r="N187" i="1"/>
  <c r="O187" i="1"/>
  <c r="P187" i="1"/>
  <c r="Q187" i="1"/>
  <c r="R187" i="1"/>
  <c r="S187" i="1"/>
  <c r="T187" i="1"/>
  <c r="U187" i="1"/>
  <c r="V187" i="1"/>
  <c r="W187" i="1"/>
  <c r="K188" i="1"/>
  <c r="M188" i="1"/>
  <c r="N188" i="1"/>
  <c r="O188" i="1"/>
  <c r="P188" i="1"/>
  <c r="Q188" i="1"/>
  <c r="R188" i="1"/>
  <c r="S188" i="1"/>
  <c r="T188" i="1"/>
  <c r="U188" i="1"/>
  <c r="V188" i="1"/>
  <c r="W188" i="1"/>
  <c r="K189" i="1"/>
  <c r="M189" i="1"/>
  <c r="N189" i="1"/>
  <c r="O189" i="1"/>
  <c r="P189" i="1"/>
  <c r="Q189" i="1"/>
  <c r="R189" i="1"/>
  <c r="S189" i="1"/>
  <c r="T189" i="1"/>
  <c r="U189" i="1"/>
  <c r="V189" i="1"/>
  <c r="W189" i="1"/>
  <c r="K190" i="1"/>
  <c r="M190" i="1"/>
  <c r="N190" i="1"/>
  <c r="O190" i="1"/>
  <c r="P190" i="1"/>
  <c r="Q190" i="1"/>
  <c r="R190" i="1"/>
  <c r="S190" i="1"/>
  <c r="T190" i="1"/>
  <c r="U190" i="1"/>
  <c r="V190" i="1"/>
  <c r="W190" i="1"/>
  <c r="K191" i="1"/>
  <c r="M191" i="1"/>
  <c r="N191" i="1"/>
  <c r="O191" i="1"/>
  <c r="P191" i="1"/>
  <c r="Q191" i="1"/>
  <c r="R191" i="1"/>
  <c r="S191" i="1"/>
  <c r="T191" i="1"/>
  <c r="U191" i="1"/>
  <c r="V191" i="1"/>
  <c r="W191" i="1"/>
  <c r="K192" i="1"/>
  <c r="M192" i="1"/>
  <c r="N192" i="1"/>
  <c r="O192" i="1"/>
  <c r="P192" i="1"/>
  <c r="Q192" i="1"/>
  <c r="R192" i="1"/>
  <c r="S192" i="1"/>
  <c r="T192" i="1"/>
  <c r="U192" i="1"/>
  <c r="V192" i="1"/>
  <c r="W192" i="1"/>
  <c r="K193" i="1"/>
  <c r="M193" i="1"/>
  <c r="N193" i="1"/>
  <c r="O193" i="1"/>
  <c r="P193" i="1"/>
  <c r="Q193" i="1"/>
  <c r="R193" i="1"/>
  <c r="S193" i="1"/>
  <c r="T193" i="1"/>
  <c r="U193" i="1"/>
  <c r="V193" i="1"/>
  <c r="W193" i="1"/>
  <c r="K194" i="1"/>
  <c r="M194" i="1"/>
  <c r="N194" i="1"/>
  <c r="O194" i="1"/>
  <c r="P194" i="1"/>
  <c r="Q194" i="1"/>
  <c r="R194" i="1"/>
  <c r="S194" i="1"/>
  <c r="T194" i="1"/>
  <c r="U194" i="1"/>
  <c r="V194" i="1"/>
  <c r="W194" i="1"/>
  <c r="K195" i="1"/>
  <c r="M195" i="1"/>
  <c r="N195" i="1"/>
  <c r="O195" i="1"/>
  <c r="P195" i="1"/>
  <c r="Q195" i="1"/>
  <c r="R195" i="1"/>
  <c r="S195" i="1"/>
  <c r="T195" i="1"/>
  <c r="U195" i="1"/>
  <c r="V195" i="1"/>
  <c r="W195" i="1"/>
  <c r="K196" i="1"/>
  <c r="M196" i="1"/>
  <c r="N196" i="1"/>
  <c r="O196" i="1"/>
  <c r="P196" i="1"/>
  <c r="Q196" i="1"/>
  <c r="R196" i="1"/>
  <c r="S196" i="1"/>
  <c r="T196" i="1"/>
  <c r="U196" i="1"/>
  <c r="V196" i="1"/>
  <c r="W196" i="1"/>
  <c r="K197" i="1"/>
  <c r="M197" i="1"/>
  <c r="N197" i="1"/>
  <c r="O197" i="1"/>
  <c r="P197" i="1"/>
  <c r="Q197" i="1"/>
  <c r="R197" i="1"/>
  <c r="S197" i="1"/>
  <c r="T197" i="1"/>
  <c r="U197" i="1"/>
  <c r="V197" i="1"/>
  <c r="W197" i="1"/>
  <c r="K198" i="1"/>
  <c r="M198" i="1"/>
  <c r="N198" i="1"/>
  <c r="O198" i="1"/>
  <c r="P198" i="1"/>
  <c r="Q198" i="1"/>
  <c r="R198" i="1"/>
  <c r="S198" i="1"/>
  <c r="T198" i="1"/>
  <c r="U198" i="1"/>
  <c r="V198" i="1"/>
  <c r="W198" i="1"/>
  <c r="K199" i="1"/>
  <c r="M199" i="1"/>
  <c r="N199" i="1"/>
  <c r="O199" i="1"/>
  <c r="P199" i="1"/>
  <c r="Q199" i="1"/>
  <c r="R199" i="1"/>
  <c r="S199" i="1"/>
  <c r="T199" i="1"/>
  <c r="U199" i="1"/>
  <c r="V199" i="1"/>
  <c r="W199" i="1"/>
  <c r="K200" i="1"/>
  <c r="M200" i="1"/>
  <c r="N200" i="1"/>
  <c r="O200" i="1"/>
  <c r="P200" i="1"/>
  <c r="Q200" i="1"/>
  <c r="R200" i="1"/>
  <c r="S200" i="1"/>
  <c r="T200" i="1"/>
  <c r="U200" i="1"/>
  <c r="V200" i="1"/>
  <c r="W200" i="1"/>
  <c r="K201" i="1"/>
  <c r="M201" i="1"/>
  <c r="N201" i="1"/>
  <c r="O201" i="1"/>
  <c r="P201" i="1"/>
  <c r="Q201" i="1"/>
  <c r="R201" i="1"/>
  <c r="S201" i="1"/>
  <c r="T201" i="1"/>
  <c r="U201" i="1"/>
  <c r="V201" i="1"/>
  <c r="W201" i="1"/>
  <c r="K202" i="1"/>
  <c r="M202" i="1"/>
  <c r="N202" i="1"/>
  <c r="O202" i="1"/>
  <c r="P202" i="1"/>
  <c r="Q202" i="1"/>
  <c r="R202" i="1"/>
  <c r="S202" i="1"/>
  <c r="T202" i="1"/>
  <c r="U202" i="1"/>
  <c r="V202" i="1"/>
  <c r="W202" i="1"/>
  <c r="K203" i="1"/>
  <c r="M203" i="1"/>
  <c r="N203" i="1"/>
  <c r="O203" i="1"/>
  <c r="P203" i="1"/>
  <c r="Q203" i="1"/>
  <c r="R203" i="1"/>
  <c r="S203" i="1"/>
  <c r="T203" i="1"/>
  <c r="U203" i="1"/>
  <c r="V203" i="1"/>
  <c r="W203" i="1"/>
  <c r="K204" i="1"/>
  <c r="M204" i="1"/>
  <c r="N204" i="1"/>
  <c r="O204" i="1"/>
  <c r="P204" i="1"/>
  <c r="Q204" i="1"/>
  <c r="R204" i="1"/>
  <c r="S204" i="1"/>
  <c r="T204" i="1"/>
  <c r="U204" i="1"/>
  <c r="V204" i="1"/>
  <c r="W204" i="1"/>
  <c r="K205" i="1"/>
  <c r="M205" i="1"/>
  <c r="N205" i="1"/>
  <c r="O205" i="1"/>
  <c r="P205" i="1"/>
  <c r="Q205" i="1"/>
  <c r="R205" i="1"/>
  <c r="S205" i="1"/>
  <c r="T205" i="1"/>
  <c r="U205" i="1"/>
  <c r="V205" i="1"/>
  <c r="W205" i="1"/>
  <c r="K206" i="1"/>
  <c r="M206" i="1"/>
  <c r="N206" i="1"/>
  <c r="O206" i="1"/>
  <c r="P206" i="1"/>
  <c r="Q206" i="1"/>
  <c r="R206" i="1"/>
  <c r="S206" i="1"/>
  <c r="T206" i="1"/>
  <c r="U206" i="1"/>
  <c r="V206" i="1"/>
  <c r="W206" i="1"/>
  <c r="K207" i="1"/>
  <c r="M207" i="1"/>
  <c r="N207" i="1"/>
  <c r="O207" i="1"/>
  <c r="P207" i="1"/>
  <c r="Q207" i="1"/>
  <c r="R207" i="1"/>
  <c r="S207" i="1"/>
  <c r="T207" i="1"/>
  <c r="U207" i="1"/>
  <c r="V207" i="1"/>
  <c r="W207" i="1"/>
  <c r="K208" i="1"/>
  <c r="M208" i="1"/>
  <c r="N208" i="1"/>
  <c r="O208" i="1"/>
  <c r="P208" i="1"/>
  <c r="Q208" i="1"/>
  <c r="R208" i="1"/>
  <c r="S208" i="1"/>
  <c r="T208" i="1"/>
  <c r="U208" i="1"/>
  <c r="V208" i="1"/>
  <c r="W208" i="1"/>
  <c r="K209" i="1"/>
  <c r="M209" i="1"/>
  <c r="N209" i="1"/>
  <c r="O209" i="1"/>
  <c r="P209" i="1"/>
  <c r="Q209" i="1"/>
  <c r="R209" i="1"/>
  <c r="S209" i="1"/>
  <c r="T209" i="1"/>
  <c r="U209" i="1"/>
  <c r="V209" i="1"/>
  <c r="W209" i="1"/>
  <c r="K210" i="1"/>
  <c r="M210" i="1"/>
  <c r="N210" i="1"/>
  <c r="O210" i="1"/>
  <c r="P210" i="1"/>
  <c r="Q210" i="1"/>
  <c r="R210" i="1"/>
  <c r="S210" i="1"/>
  <c r="T210" i="1"/>
  <c r="U210" i="1"/>
  <c r="V210" i="1"/>
  <c r="W210" i="1"/>
  <c r="K211" i="1"/>
  <c r="M211" i="1"/>
  <c r="N211" i="1"/>
  <c r="O211" i="1"/>
  <c r="P211" i="1"/>
  <c r="Q211" i="1"/>
  <c r="R211" i="1"/>
  <c r="S211" i="1"/>
  <c r="T211" i="1"/>
  <c r="U211" i="1"/>
  <c r="V211" i="1"/>
  <c r="W211" i="1"/>
  <c r="K212" i="1"/>
  <c r="M212" i="1"/>
  <c r="N212" i="1"/>
  <c r="O212" i="1"/>
  <c r="P212" i="1"/>
  <c r="Q212" i="1"/>
  <c r="R212" i="1"/>
  <c r="S212" i="1"/>
  <c r="T212" i="1"/>
  <c r="U212" i="1"/>
  <c r="V212" i="1"/>
  <c r="W212" i="1"/>
  <c r="K213" i="1"/>
  <c r="M213" i="1"/>
  <c r="N213" i="1"/>
  <c r="O213" i="1"/>
  <c r="P213" i="1"/>
  <c r="Q213" i="1"/>
  <c r="R213" i="1"/>
  <c r="S213" i="1"/>
  <c r="T213" i="1"/>
  <c r="U213" i="1"/>
  <c r="V213" i="1"/>
  <c r="W213" i="1"/>
  <c r="K214" i="1"/>
  <c r="M214" i="1"/>
  <c r="N214" i="1"/>
  <c r="O214" i="1"/>
  <c r="P214" i="1"/>
  <c r="Q214" i="1"/>
  <c r="R214" i="1"/>
  <c r="S214" i="1"/>
  <c r="T214" i="1"/>
  <c r="U214" i="1"/>
  <c r="V214" i="1"/>
  <c r="W214" i="1"/>
  <c r="K215" i="1"/>
  <c r="M215" i="1"/>
  <c r="N215" i="1"/>
  <c r="O215" i="1"/>
  <c r="P215" i="1"/>
  <c r="Q215" i="1"/>
  <c r="R215" i="1"/>
  <c r="S215" i="1"/>
  <c r="T215" i="1"/>
  <c r="U215" i="1"/>
  <c r="V215" i="1"/>
  <c r="W215" i="1"/>
  <c r="K216" i="1"/>
  <c r="M216" i="1"/>
  <c r="N216" i="1"/>
  <c r="O216" i="1"/>
  <c r="P216" i="1"/>
  <c r="Q216" i="1"/>
  <c r="R216" i="1"/>
  <c r="S216" i="1"/>
  <c r="T216" i="1"/>
  <c r="U216" i="1"/>
  <c r="V216" i="1"/>
  <c r="W216" i="1"/>
  <c r="K217" i="1"/>
  <c r="M217" i="1"/>
  <c r="N217" i="1"/>
  <c r="O217" i="1"/>
  <c r="P217" i="1"/>
  <c r="Q217" i="1"/>
  <c r="R217" i="1"/>
  <c r="S217" i="1"/>
  <c r="T217" i="1"/>
  <c r="U217" i="1"/>
  <c r="V217" i="1"/>
  <c r="W217" i="1"/>
  <c r="K218" i="1"/>
  <c r="M218" i="1"/>
  <c r="N218" i="1"/>
  <c r="O218" i="1"/>
  <c r="P218" i="1"/>
  <c r="Q218" i="1"/>
  <c r="R218" i="1"/>
  <c r="S218" i="1"/>
  <c r="T218" i="1"/>
  <c r="U218" i="1"/>
  <c r="V218" i="1"/>
  <c r="W218" i="1"/>
  <c r="K219" i="1"/>
  <c r="M219" i="1"/>
  <c r="N219" i="1"/>
  <c r="O219" i="1"/>
  <c r="P219" i="1"/>
  <c r="Q219" i="1"/>
  <c r="R219" i="1"/>
  <c r="S219" i="1"/>
  <c r="T219" i="1"/>
  <c r="U219" i="1"/>
  <c r="V219" i="1"/>
  <c r="W219" i="1"/>
  <c r="K220" i="1"/>
  <c r="M220" i="1"/>
  <c r="N220" i="1"/>
  <c r="O220" i="1"/>
  <c r="P220" i="1"/>
  <c r="Q220" i="1"/>
  <c r="R220" i="1"/>
  <c r="S220" i="1"/>
  <c r="T220" i="1"/>
  <c r="U220" i="1"/>
  <c r="V220" i="1"/>
  <c r="W220" i="1"/>
  <c r="K221" i="1"/>
  <c r="M221" i="1"/>
  <c r="N221" i="1"/>
  <c r="O221" i="1"/>
  <c r="P221" i="1"/>
  <c r="Q221" i="1"/>
  <c r="R221" i="1"/>
  <c r="S221" i="1"/>
  <c r="T221" i="1"/>
  <c r="U221" i="1"/>
  <c r="V221" i="1"/>
  <c r="W221" i="1"/>
  <c r="K222" i="1"/>
  <c r="M222" i="1"/>
  <c r="N222" i="1"/>
  <c r="O222" i="1"/>
  <c r="P222" i="1"/>
  <c r="Q222" i="1"/>
  <c r="R222" i="1"/>
  <c r="S222" i="1"/>
  <c r="T222" i="1"/>
  <c r="U222" i="1"/>
  <c r="V222" i="1"/>
  <c r="W222" i="1"/>
  <c r="K223" i="1"/>
  <c r="M223" i="1"/>
  <c r="N223" i="1"/>
  <c r="O223" i="1"/>
  <c r="P223" i="1"/>
  <c r="Q223" i="1"/>
  <c r="R223" i="1"/>
  <c r="S223" i="1"/>
  <c r="T223" i="1"/>
  <c r="U223" i="1"/>
  <c r="V223" i="1"/>
  <c r="W223" i="1"/>
  <c r="K224" i="1"/>
  <c r="M224" i="1"/>
  <c r="N224" i="1"/>
  <c r="O224" i="1"/>
  <c r="P224" i="1"/>
  <c r="Q224" i="1"/>
  <c r="R224" i="1"/>
  <c r="S224" i="1"/>
  <c r="T224" i="1"/>
  <c r="U224" i="1"/>
  <c r="V224" i="1"/>
  <c r="W224" i="1"/>
  <c r="K225" i="1"/>
  <c r="M225" i="1"/>
  <c r="N225" i="1"/>
  <c r="O225" i="1"/>
  <c r="P225" i="1"/>
  <c r="Q225" i="1"/>
  <c r="R225" i="1"/>
  <c r="S225" i="1"/>
  <c r="T225" i="1"/>
  <c r="U225" i="1"/>
  <c r="V225" i="1"/>
  <c r="W225" i="1"/>
  <c r="K226" i="1"/>
  <c r="M226" i="1"/>
  <c r="N226" i="1"/>
  <c r="O226" i="1"/>
  <c r="P226" i="1"/>
  <c r="Q226" i="1"/>
  <c r="R226" i="1"/>
  <c r="S226" i="1"/>
  <c r="T226" i="1"/>
  <c r="U226" i="1"/>
  <c r="V226" i="1"/>
  <c r="W226" i="1"/>
  <c r="K227" i="1"/>
  <c r="M227" i="1"/>
  <c r="N227" i="1"/>
  <c r="O227" i="1"/>
  <c r="P227" i="1"/>
  <c r="Q227" i="1"/>
  <c r="R227" i="1"/>
  <c r="S227" i="1"/>
  <c r="T227" i="1"/>
  <c r="U227" i="1"/>
  <c r="V227" i="1"/>
  <c r="W227" i="1"/>
  <c r="K228" i="1"/>
  <c r="M228" i="1"/>
  <c r="N228" i="1"/>
  <c r="O228" i="1"/>
  <c r="P228" i="1"/>
  <c r="Q228" i="1"/>
  <c r="R228" i="1"/>
  <c r="S228" i="1"/>
  <c r="T228" i="1"/>
  <c r="U228" i="1"/>
  <c r="V228" i="1"/>
  <c r="W228" i="1"/>
  <c r="K229" i="1"/>
  <c r="M229" i="1"/>
  <c r="N229" i="1"/>
  <c r="O229" i="1"/>
  <c r="P229" i="1"/>
  <c r="Q229" i="1"/>
  <c r="R229" i="1"/>
  <c r="S229" i="1"/>
  <c r="T229" i="1"/>
  <c r="U229" i="1"/>
  <c r="V229" i="1"/>
  <c r="W229" i="1"/>
  <c r="K230" i="1"/>
  <c r="M230" i="1"/>
  <c r="N230" i="1"/>
  <c r="O230" i="1"/>
  <c r="P230" i="1"/>
  <c r="Q230" i="1"/>
  <c r="R230" i="1"/>
  <c r="S230" i="1"/>
  <c r="T230" i="1"/>
  <c r="U230" i="1"/>
  <c r="V230" i="1"/>
  <c r="W230" i="1"/>
  <c r="K231" i="1"/>
  <c r="M231" i="1"/>
  <c r="N231" i="1"/>
  <c r="O231" i="1"/>
  <c r="P231" i="1"/>
  <c r="Q231" i="1"/>
  <c r="R231" i="1"/>
  <c r="S231" i="1"/>
  <c r="T231" i="1"/>
  <c r="U231" i="1"/>
  <c r="V231" i="1"/>
  <c r="W231" i="1"/>
  <c r="K232" i="1"/>
  <c r="M232" i="1"/>
  <c r="N232" i="1"/>
  <c r="O232" i="1"/>
  <c r="P232" i="1"/>
  <c r="Q232" i="1"/>
  <c r="R232" i="1"/>
  <c r="S232" i="1"/>
  <c r="T232" i="1"/>
  <c r="U232" i="1"/>
  <c r="V232" i="1"/>
  <c r="W232" i="1"/>
  <c r="K233" i="1"/>
  <c r="M233" i="1"/>
  <c r="N233" i="1"/>
  <c r="O233" i="1"/>
  <c r="P233" i="1"/>
  <c r="Q233" i="1"/>
  <c r="R233" i="1"/>
  <c r="S233" i="1"/>
  <c r="T233" i="1"/>
  <c r="U233" i="1"/>
  <c r="V233" i="1"/>
  <c r="W233" i="1"/>
  <c r="K234" i="1"/>
  <c r="M234" i="1"/>
  <c r="N234" i="1"/>
  <c r="O234" i="1"/>
  <c r="P234" i="1"/>
  <c r="Q234" i="1"/>
  <c r="R234" i="1"/>
  <c r="S234" i="1"/>
  <c r="T234" i="1"/>
  <c r="U234" i="1"/>
  <c r="V234" i="1"/>
  <c r="W234" i="1"/>
  <c r="K235" i="1"/>
  <c r="M235" i="1"/>
  <c r="N235" i="1"/>
  <c r="O235" i="1"/>
  <c r="P235" i="1"/>
  <c r="Q235" i="1"/>
  <c r="R235" i="1"/>
  <c r="S235" i="1"/>
  <c r="T235" i="1"/>
  <c r="U235" i="1"/>
  <c r="V235" i="1"/>
  <c r="W235" i="1"/>
  <c r="K236" i="1"/>
  <c r="M236" i="1"/>
  <c r="N236" i="1"/>
  <c r="O236" i="1"/>
  <c r="P236" i="1"/>
  <c r="Q236" i="1"/>
  <c r="R236" i="1"/>
  <c r="S236" i="1"/>
  <c r="T236" i="1"/>
  <c r="U236" i="1"/>
  <c r="V236" i="1"/>
  <c r="W236" i="1"/>
  <c r="K237" i="1"/>
  <c r="M237" i="1"/>
  <c r="N237" i="1"/>
  <c r="O237" i="1"/>
  <c r="P237" i="1"/>
  <c r="Q237" i="1"/>
  <c r="R237" i="1"/>
  <c r="S237" i="1"/>
  <c r="T237" i="1"/>
  <c r="U237" i="1"/>
  <c r="V237" i="1"/>
  <c r="W237" i="1"/>
  <c r="K238" i="1"/>
  <c r="M238" i="1"/>
  <c r="N238" i="1"/>
  <c r="O238" i="1"/>
  <c r="P238" i="1"/>
  <c r="Q238" i="1"/>
  <c r="R238" i="1"/>
  <c r="S238" i="1"/>
  <c r="T238" i="1"/>
  <c r="U238" i="1"/>
  <c r="V238" i="1"/>
  <c r="W238" i="1"/>
  <c r="K239" i="1"/>
  <c r="M239" i="1"/>
  <c r="N239" i="1"/>
  <c r="O239" i="1"/>
  <c r="P239" i="1"/>
  <c r="Q239" i="1"/>
  <c r="R239" i="1"/>
  <c r="S239" i="1"/>
  <c r="T239" i="1"/>
  <c r="U239" i="1"/>
  <c r="V239" i="1"/>
  <c r="W239" i="1"/>
  <c r="K240" i="1"/>
  <c r="M240" i="1"/>
  <c r="N240" i="1"/>
  <c r="O240" i="1"/>
  <c r="P240" i="1"/>
  <c r="Q240" i="1"/>
  <c r="R240" i="1"/>
  <c r="S240" i="1"/>
  <c r="T240" i="1"/>
  <c r="U240" i="1"/>
  <c r="V240" i="1"/>
  <c r="W240" i="1"/>
  <c r="K241" i="1"/>
  <c r="M241" i="1"/>
  <c r="N241" i="1"/>
  <c r="O241" i="1"/>
  <c r="P241" i="1"/>
  <c r="Q241" i="1"/>
  <c r="R241" i="1"/>
  <c r="S241" i="1"/>
  <c r="T241" i="1"/>
  <c r="U241" i="1"/>
  <c r="V241" i="1"/>
  <c r="W241" i="1"/>
  <c r="K242" i="1"/>
  <c r="M242" i="1"/>
  <c r="N242" i="1"/>
  <c r="O242" i="1"/>
  <c r="P242" i="1"/>
  <c r="Q242" i="1"/>
  <c r="R242" i="1"/>
  <c r="S242" i="1"/>
  <c r="T242" i="1"/>
  <c r="U242" i="1"/>
  <c r="V242" i="1"/>
  <c r="W242" i="1"/>
  <c r="K243" i="1"/>
  <c r="M243" i="1"/>
  <c r="N243" i="1"/>
  <c r="O243" i="1"/>
  <c r="P243" i="1"/>
  <c r="Q243" i="1"/>
  <c r="R243" i="1"/>
  <c r="S243" i="1"/>
  <c r="T243" i="1"/>
  <c r="U243" i="1"/>
  <c r="V243" i="1"/>
  <c r="W243" i="1"/>
  <c r="K244" i="1"/>
  <c r="M244" i="1"/>
  <c r="N244" i="1"/>
  <c r="O244" i="1"/>
  <c r="P244" i="1"/>
  <c r="Q244" i="1"/>
  <c r="R244" i="1"/>
  <c r="S244" i="1"/>
  <c r="T244" i="1"/>
  <c r="U244" i="1"/>
  <c r="V244" i="1"/>
  <c r="W244" i="1"/>
  <c r="K245" i="1"/>
  <c r="M245" i="1"/>
  <c r="N245" i="1"/>
  <c r="O245" i="1"/>
  <c r="P245" i="1"/>
  <c r="Q245" i="1"/>
  <c r="R245" i="1"/>
  <c r="S245" i="1"/>
  <c r="T245" i="1"/>
  <c r="U245" i="1"/>
  <c r="V245" i="1"/>
  <c r="W245" i="1"/>
  <c r="K246" i="1"/>
  <c r="M246" i="1"/>
  <c r="N246" i="1"/>
  <c r="O246" i="1"/>
  <c r="P246" i="1"/>
  <c r="Q246" i="1"/>
  <c r="R246" i="1"/>
  <c r="S246" i="1"/>
  <c r="T246" i="1"/>
  <c r="U246" i="1"/>
  <c r="V246" i="1"/>
  <c r="W246" i="1"/>
  <c r="K247" i="1"/>
  <c r="M247" i="1"/>
  <c r="N247" i="1"/>
  <c r="O247" i="1"/>
  <c r="P247" i="1"/>
  <c r="Q247" i="1"/>
  <c r="R247" i="1"/>
  <c r="S247" i="1"/>
  <c r="T247" i="1"/>
  <c r="U247" i="1"/>
  <c r="V247" i="1"/>
  <c r="W247" i="1"/>
  <c r="K248" i="1"/>
  <c r="M248" i="1"/>
  <c r="N248" i="1"/>
  <c r="O248" i="1"/>
  <c r="P248" i="1"/>
  <c r="Q248" i="1"/>
  <c r="R248" i="1"/>
  <c r="S248" i="1"/>
  <c r="T248" i="1"/>
  <c r="U248" i="1"/>
  <c r="V248" i="1"/>
  <c r="W248" i="1"/>
  <c r="K249" i="1"/>
  <c r="M249" i="1"/>
  <c r="N249" i="1"/>
  <c r="O249" i="1"/>
  <c r="P249" i="1"/>
  <c r="Q249" i="1"/>
  <c r="R249" i="1"/>
  <c r="S249" i="1"/>
  <c r="T249" i="1"/>
  <c r="U249" i="1"/>
  <c r="V249" i="1"/>
  <c r="W249" i="1"/>
  <c r="K250" i="1"/>
  <c r="M250" i="1"/>
  <c r="N250" i="1"/>
  <c r="O250" i="1"/>
  <c r="P250" i="1"/>
  <c r="Q250" i="1"/>
  <c r="R250" i="1"/>
  <c r="S250" i="1"/>
  <c r="T250" i="1"/>
  <c r="U250" i="1"/>
  <c r="V250" i="1"/>
  <c r="W250" i="1"/>
  <c r="K251" i="1"/>
  <c r="M251" i="1"/>
  <c r="N251" i="1"/>
  <c r="O251" i="1"/>
  <c r="P251" i="1"/>
  <c r="Q251" i="1"/>
  <c r="R251" i="1"/>
  <c r="S251" i="1"/>
  <c r="T251" i="1"/>
  <c r="U251" i="1"/>
  <c r="V251" i="1"/>
  <c r="W251" i="1"/>
  <c r="K252" i="1"/>
  <c r="M252" i="1"/>
  <c r="N252" i="1"/>
  <c r="O252" i="1"/>
  <c r="P252" i="1"/>
  <c r="Q252" i="1"/>
  <c r="R252" i="1"/>
  <c r="S252" i="1"/>
  <c r="T252" i="1"/>
  <c r="U252" i="1"/>
  <c r="V252" i="1"/>
  <c r="W252" i="1"/>
  <c r="K253" i="1"/>
  <c r="M253" i="1"/>
  <c r="N253" i="1"/>
  <c r="O253" i="1"/>
  <c r="P253" i="1"/>
  <c r="Q253" i="1"/>
  <c r="R253" i="1"/>
  <c r="S253" i="1"/>
  <c r="T253" i="1"/>
  <c r="U253" i="1"/>
  <c r="V253" i="1"/>
  <c r="W253" i="1"/>
  <c r="K254" i="1"/>
  <c r="M254" i="1"/>
  <c r="N254" i="1"/>
  <c r="O254" i="1"/>
  <c r="P254" i="1"/>
  <c r="Q254" i="1"/>
  <c r="R254" i="1"/>
  <c r="S254" i="1"/>
  <c r="T254" i="1"/>
  <c r="U254" i="1"/>
  <c r="V254" i="1"/>
  <c r="W254" i="1"/>
  <c r="K255" i="1"/>
  <c r="M255" i="1"/>
  <c r="N255" i="1"/>
  <c r="O255" i="1"/>
  <c r="P255" i="1"/>
  <c r="Q255" i="1"/>
  <c r="R255" i="1"/>
  <c r="S255" i="1"/>
  <c r="T255" i="1"/>
  <c r="U255" i="1"/>
  <c r="V255" i="1"/>
  <c r="W255" i="1"/>
  <c r="K256" i="1"/>
  <c r="M256" i="1"/>
  <c r="N256" i="1"/>
  <c r="O256" i="1"/>
  <c r="P256" i="1"/>
  <c r="Q256" i="1"/>
  <c r="R256" i="1"/>
  <c r="S256" i="1"/>
  <c r="T256" i="1"/>
  <c r="U256" i="1"/>
  <c r="V256" i="1"/>
  <c r="W256" i="1"/>
  <c r="K257" i="1"/>
  <c r="M257" i="1"/>
  <c r="N257" i="1"/>
  <c r="O257" i="1"/>
  <c r="P257" i="1"/>
  <c r="Q257" i="1"/>
  <c r="R257" i="1"/>
  <c r="S257" i="1"/>
  <c r="T257" i="1"/>
  <c r="U257" i="1"/>
  <c r="V257" i="1"/>
  <c r="W257" i="1"/>
  <c r="K258" i="1"/>
  <c r="M258" i="1"/>
  <c r="N258" i="1"/>
  <c r="O258" i="1"/>
  <c r="P258" i="1"/>
  <c r="Q258" i="1"/>
  <c r="R258" i="1"/>
  <c r="S258" i="1"/>
  <c r="T258" i="1"/>
  <c r="U258" i="1"/>
  <c r="V258" i="1"/>
  <c r="W258" i="1"/>
  <c r="K259" i="1"/>
  <c r="M259" i="1"/>
  <c r="N259" i="1"/>
  <c r="O259" i="1"/>
  <c r="P259" i="1"/>
  <c r="Q259" i="1"/>
  <c r="R259" i="1"/>
  <c r="S259" i="1"/>
  <c r="T259" i="1"/>
  <c r="U259" i="1"/>
  <c r="V259" i="1"/>
  <c r="W259" i="1"/>
  <c r="K260" i="1"/>
  <c r="M260" i="1"/>
  <c r="N260" i="1"/>
  <c r="O260" i="1"/>
  <c r="P260" i="1"/>
  <c r="Q260" i="1"/>
  <c r="R260" i="1"/>
  <c r="S260" i="1"/>
  <c r="T260" i="1"/>
  <c r="U260" i="1"/>
  <c r="V260" i="1"/>
  <c r="W260" i="1"/>
  <c r="K261" i="1"/>
  <c r="M261" i="1"/>
  <c r="N261" i="1"/>
  <c r="O261" i="1"/>
  <c r="P261" i="1"/>
  <c r="Q261" i="1"/>
  <c r="R261" i="1"/>
  <c r="S261" i="1"/>
  <c r="T261" i="1"/>
  <c r="U261" i="1"/>
  <c r="V261" i="1"/>
  <c r="W261" i="1"/>
  <c r="K262" i="1"/>
  <c r="M262" i="1"/>
  <c r="N262" i="1"/>
  <c r="O262" i="1"/>
  <c r="P262" i="1"/>
  <c r="Q262" i="1"/>
  <c r="R262" i="1"/>
  <c r="S262" i="1"/>
  <c r="T262" i="1"/>
  <c r="U262" i="1"/>
  <c r="V262" i="1"/>
  <c r="W262" i="1"/>
  <c r="K263" i="1"/>
  <c r="M263" i="1"/>
  <c r="N263" i="1"/>
  <c r="O263" i="1"/>
  <c r="P263" i="1"/>
  <c r="Q263" i="1"/>
  <c r="R263" i="1"/>
  <c r="S263" i="1"/>
  <c r="T263" i="1"/>
  <c r="U263" i="1"/>
  <c r="V263" i="1"/>
  <c r="W263" i="1"/>
  <c r="K264" i="1"/>
  <c r="M264" i="1"/>
  <c r="N264" i="1"/>
  <c r="O264" i="1"/>
  <c r="P264" i="1"/>
  <c r="Q264" i="1"/>
  <c r="R264" i="1"/>
  <c r="S264" i="1"/>
  <c r="T264" i="1"/>
  <c r="U264" i="1"/>
  <c r="V264" i="1"/>
  <c r="W264" i="1"/>
  <c r="K265" i="1"/>
  <c r="M265" i="1"/>
  <c r="N265" i="1"/>
  <c r="O265" i="1"/>
  <c r="P265" i="1"/>
  <c r="Q265" i="1"/>
  <c r="R265" i="1"/>
  <c r="S265" i="1"/>
  <c r="T265" i="1"/>
  <c r="U265" i="1"/>
  <c r="V265" i="1"/>
  <c r="W265" i="1"/>
  <c r="K266" i="1"/>
  <c r="M266" i="1"/>
  <c r="N266" i="1"/>
  <c r="O266" i="1"/>
  <c r="P266" i="1"/>
  <c r="Q266" i="1"/>
  <c r="R266" i="1"/>
  <c r="S266" i="1"/>
  <c r="T266" i="1"/>
  <c r="U266" i="1"/>
  <c r="V266" i="1"/>
  <c r="W266" i="1"/>
  <c r="K267" i="1"/>
  <c r="M267" i="1"/>
  <c r="N267" i="1"/>
  <c r="O267" i="1"/>
  <c r="P267" i="1"/>
  <c r="Q267" i="1"/>
  <c r="R267" i="1"/>
  <c r="S267" i="1"/>
  <c r="T267" i="1"/>
  <c r="U267" i="1"/>
  <c r="V267" i="1"/>
  <c r="W267" i="1"/>
  <c r="K268" i="1"/>
  <c r="M268" i="1"/>
  <c r="N268" i="1"/>
  <c r="O268" i="1"/>
  <c r="P268" i="1"/>
  <c r="Q268" i="1"/>
  <c r="R268" i="1"/>
  <c r="S268" i="1"/>
  <c r="T268" i="1"/>
  <c r="U268" i="1"/>
  <c r="V268" i="1"/>
  <c r="W268" i="1"/>
  <c r="K269" i="1"/>
  <c r="M269" i="1"/>
  <c r="N269" i="1"/>
  <c r="O269" i="1"/>
  <c r="P269" i="1"/>
  <c r="Q269" i="1"/>
  <c r="R269" i="1"/>
  <c r="S269" i="1"/>
  <c r="T269" i="1"/>
  <c r="U269" i="1"/>
  <c r="V269" i="1"/>
  <c r="W269" i="1"/>
  <c r="K270" i="1"/>
  <c r="M270" i="1"/>
  <c r="N270" i="1"/>
  <c r="O270" i="1"/>
  <c r="P270" i="1"/>
  <c r="Q270" i="1"/>
  <c r="R270" i="1"/>
  <c r="S270" i="1"/>
  <c r="T270" i="1"/>
  <c r="U270" i="1"/>
  <c r="V270" i="1"/>
  <c r="W270" i="1"/>
  <c r="K271" i="1"/>
  <c r="M271" i="1"/>
  <c r="N271" i="1"/>
  <c r="O271" i="1"/>
  <c r="P271" i="1"/>
  <c r="Q271" i="1"/>
  <c r="R271" i="1"/>
  <c r="S271" i="1"/>
  <c r="T271" i="1"/>
  <c r="U271" i="1"/>
  <c r="V271" i="1"/>
  <c r="W271" i="1"/>
  <c r="K272" i="1"/>
  <c r="M272" i="1"/>
  <c r="N272" i="1"/>
  <c r="O272" i="1"/>
  <c r="P272" i="1"/>
  <c r="Q272" i="1"/>
  <c r="R272" i="1"/>
  <c r="S272" i="1"/>
  <c r="T272" i="1"/>
  <c r="U272" i="1"/>
  <c r="V272" i="1"/>
  <c r="W272" i="1"/>
  <c r="K273" i="1"/>
  <c r="M273" i="1"/>
  <c r="N273" i="1"/>
  <c r="O273" i="1"/>
  <c r="P273" i="1"/>
  <c r="Q273" i="1"/>
  <c r="R273" i="1"/>
  <c r="S273" i="1"/>
  <c r="T273" i="1"/>
  <c r="U273" i="1"/>
  <c r="V273" i="1"/>
  <c r="W273" i="1"/>
  <c r="K274" i="1"/>
  <c r="M274" i="1"/>
  <c r="N274" i="1"/>
  <c r="O274" i="1"/>
  <c r="P274" i="1"/>
  <c r="Q274" i="1"/>
  <c r="R274" i="1"/>
  <c r="S274" i="1"/>
  <c r="T274" i="1"/>
  <c r="U274" i="1"/>
  <c r="V274" i="1"/>
  <c r="W274" i="1"/>
  <c r="K275" i="1"/>
  <c r="M275" i="1"/>
  <c r="N275" i="1"/>
  <c r="O275" i="1"/>
  <c r="P275" i="1"/>
  <c r="Q275" i="1"/>
  <c r="R275" i="1"/>
  <c r="S275" i="1"/>
  <c r="T275" i="1"/>
  <c r="U275" i="1"/>
  <c r="V275" i="1"/>
  <c r="W275" i="1"/>
  <c r="K276" i="1"/>
  <c r="M276" i="1"/>
  <c r="N276" i="1"/>
  <c r="O276" i="1"/>
  <c r="P276" i="1"/>
  <c r="Q276" i="1"/>
  <c r="R276" i="1"/>
  <c r="S276" i="1"/>
  <c r="T276" i="1"/>
  <c r="U276" i="1"/>
  <c r="V276" i="1"/>
  <c r="W276" i="1"/>
  <c r="K277" i="1"/>
  <c r="M277" i="1"/>
  <c r="N277" i="1"/>
  <c r="O277" i="1"/>
  <c r="P277" i="1"/>
  <c r="Q277" i="1"/>
  <c r="R277" i="1"/>
  <c r="S277" i="1"/>
  <c r="T277" i="1"/>
  <c r="U277" i="1"/>
  <c r="V277" i="1"/>
  <c r="W277" i="1"/>
  <c r="K278" i="1"/>
  <c r="M278" i="1"/>
  <c r="N278" i="1"/>
  <c r="O278" i="1"/>
  <c r="P278" i="1"/>
  <c r="Q278" i="1"/>
  <c r="R278" i="1"/>
  <c r="S278" i="1"/>
  <c r="T278" i="1"/>
  <c r="U278" i="1"/>
  <c r="V278" i="1"/>
  <c r="W278" i="1"/>
  <c r="K279" i="1"/>
  <c r="M279" i="1"/>
  <c r="N279" i="1"/>
  <c r="O279" i="1"/>
  <c r="P279" i="1"/>
  <c r="Q279" i="1"/>
  <c r="R279" i="1"/>
  <c r="S279" i="1"/>
  <c r="T279" i="1"/>
  <c r="U279" i="1"/>
  <c r="V279" i="1"/>
  <c r="W279" i="1"/>
  <c r="K280" i="1"/>
  <c r="M280" i="1"/>
  <c r="N280" i="1"/>
  <c r="O280" i="1"/>
  <c r="P280" i="1"/>
  <c r="Q280" i="1"/>
  <c r="R280" i="1"/>
  <c r="S280" i="1"/>
  <c r="T280" i="1"/>
  <c r="U280" i="1"/>
  <c r="V280" i="1"/>
  <c r="W280" i="1"/>
  <c r="K281" i="1"/>
  <c r="M281" i="1"/>
  <c r="N281" i="1"/>
  <c r="O281" i="1"/>
  <c r="P281" i="1"/>
  <c r="Q281" i="1"/>
  <c r="R281" i="1"/>
  <c r="S281" i="1"/>
  <c r="T281" i="1"/>
  <c r="U281" i="1"/>
  <c r="V281" i="1"/>
  <c r="W281" i="1"/>
  <c r="K282" i="1"/>
  <c r="M282" i="1"/>
  <c r="N282" i="1"/>
  <c r="O282" i="1"/>
  <c r="P282" i="1"/>
  <c r="Q282" i="1"/>
  <c r="R282" i="1"/>
  <c r="S282" i="1"/>
  <c r="T282" i="1"/>
  <c r="U282" i="1"/>
  <c r="V282" i="1"/>
  <c r="W282" i="1"/>
  <c r="K283" i="1"/>
  <c r="M283" i="1"/>
  <c r="N283" i="1"/>
  <c r="O283" i="1"/>
  <c r="P283" i="1"/>
  <c r="Q283" i="1"/>
  <c r="R283" i="1"/>
  <c r="S283" i="1"/>
  <c r="T283" i="1"/>
  <c r="U283" i="1"/>
  <c r="V283" i="1"/>
  <c r="W283" i="1"/>
  <c r="K284" i="1"/>
  <c r="M284" i="1"/>
  <c r="N284" i="1"/>
  <c r="O284" i="1"/>
  <c r="P284" i="1"/>
  <c r="Q284" i="1"/>
  <c r="R284" i="1"/>
  <c r="S284" i="1"/>
  <c r="T284" i="1"/>
  <c r="U284" i="1"/>
  <c r="V284" i="1"/>
  <c r="W284" i="1"/>
  <c r="K285" i="1"/>
  <c r="M285" i="1"/>
  <c r="N285" i="1"/>
  <c r="O285" i="1"/>
  <c r="P285" i="1"/>
  <c r="Q285" i="1"/>
  <c r="R285" i="1"/>
  <c r="S285" i="1"/>
  <c r="T285" i="1"/>
  <c r="U285" i="1"/>
  <c r="V285" i="1"/>
  <c r="W285" i="1"/>
  <c r="K286" i="1"/>
  <c r="M286" i="1"/>
  <c r="N286" i="1"/>
  <c r="O286" i="1"/>
  <c r="P286" i="1"/>
  <c r="Q286" i="1"/>
  <c r="R286" i="1"/>
  <c r="S286" i="1"/>
  <c r="T286" i="1"/>
  <c r="U286" i="1"/>
  <c r="V286" i="1"/>
  <c r="W286" i="1"/>
  <c r="K287" i="1"/>
  <c r="M287" i="1"/>
  <c r="N287" i="1"/>
  <c r="O287" i="1"/>
  <c r="P287" i="1"/>
  <c r="Q287" i="1"/>
  <c r="R287" i="1"/>
  <c r="S287" i="1"/>
  <c r="T287" i="1"/>
  <c r="U287" i="1"/>
  <c r="V287" i="1"/>
  <c r="W287" i="1"/>
  <c r="K288" i="1"/>
  <c r="M288" i="1"/>
  <c r="N288" i="1"/>
  <c r="O288" i="1"/>
  <c r="P288" i="1"/>
  <c r="Q288" i="1"/>
  <c r="R288" i="1"/>
  <c r="S288" i="1"/>
  <c r="T288" i="1"/>
  <c r="U288" i="1"/>
  <c r="V288" i="1"/>
  <c r="W288" i="1"/>
  <c r="K289" i="1"/>
  <c r="M289" i="1"/>
  <c r="N289" i="1"/>
  <c r="O289" i="1"/>
  <c r="P289" i="1"/>
  <c r="Q289" i="1"/>
  <c r="R289" i="1"/>
  <c r="S289" i="1"/>
  <c r="T289" i="1"/>
  <c r="U289" i="1"/>
  <c r="V289" i="1"/>
  <c r="W289" i="1"/>
  <c r="K290" i="1"/>
  <c r="M290" i="1"/>
  <c r="N290" i="1"/>
  <c r="O290" i="1"/>
  <c r="P290" i="1"/>
  <c r="Q290" i="1"/>
  <c r="R290" i="1"/>
  <c r="S290" i="1"/>
  <c r="T290" i="1"/>
  <c r="U290" i="1"/>
  <c r="V290" i="1"/>
  <c r="W290" i="1"/>
  <c r="K291" i="1"/>
  <c r="M291" i="1"/>
  <c r="N291" i="1"/>
  <c r="O291" i="1"/>
  <c r="P291" i="1"/>
  <c r="Q291" i="1"/>
  <c r="R291" i="1"/>
  <c r="S291" i="1"/>
  <c r="T291" i="1"/>
  <c r="U291" i="1"/>
  <c r="V291" i="1"/>
  <c r="W291" i="1"/>
  <c r="K292" i="1"/>
  <c r="M292" i="1"/>
  <c r="N292" i="1"/>
  <c r="O292" i="1"/>
  <c r="P292" i="1"/>
  <c r="Q292" i="1"/>
  <c r="R292" i="1"/>
  <c r="S292" i="1"/>
  <c r="T292" i="1"/>
  <c r="U292" i="1"/>
  <c r="V292" i="1"/>
  <c r="W292" i="1"/>
  <c r="K293" i="1"/>
  <c r="M293" i="1"/>
  <c r="N293" i="1"/>
  <c r="O293" i="1"/>
  <c r="P293" i="1"/>
  <c r="Q293" i="1"/>
  <c r="R293" i="1"/>
  <c r="S293" i="1"/>
  <c r="T293" i="1"/>
  <c r="U293" i="1"/>
  <c r="V293" i="1"/>
  <c r="W293" i="1"/>
  <c r="K294" i="1"/>
  <c r="M294" i="1"/>
  <c r="N294" i="1"/>
  <c r="O294" i="1"/>
  <c r="P294" i="1"/>
  <c r="Q294" i="1"/>
  <c r="R294" i="1"/>
  <c r="S294" i="1"/>
  <c r="T294" i="1"/>
  <c r="U294" i="1"/>
  <c r="V294" i="1"/>
  <c r="W294" i="1"/>
  <c r="K295" i="1"/>
  <c r="M295" i="1"/>
  <c r="N295" i="1"/>
  <c r="O295" i="1"/>
  <c r="P295" i="1"/>
  <c r="Q295" i="1"/>
  <c r="R295" i="1"/>
  <c r="S295" i="1"/>
  <c r="T295" i="1"/>
  <c r="U295" i="1"/>
  <c r="V295" i="1"/>
  <c r="W295" i="1"/>
  <c r="K296" i="1"/>
  <c r="M296" i="1"/>
  <c r="N296" i="1"/>
  <c r="O296" i="1"/>
  <c r="P296" i="1"/>
  <c r="Q296" i="1"/>
  <c r="R296" i="1"/>
  <c r="S296" i="1"/>
  <c r="T296" i="1"/>
  <c r="U296" i="1"/>
  <c r="V296" i="1"/>
  <c r="W296" i="1"/>
  <c r="K297" i="1"/>
  <c r="M297" i="1"/>
  <c r="N297" i="1"/>
  <c r="O297" i="1"/>
  <c r="P297" i="1"/>
  <c r="Q297" i="1"/>
  <c r="R297" i="1"/>
  <c r="S297" i="1"/>
  <c r="T297" i="1"/>
  <c r="U297" i="1"/>
  <c r="V297" i="1"/>
  <c r="W297" i="1"/>
  <c r="K298" i="1"/>
  <c r="M298" i="1"/>
  <c r="N298" i="1"/>
  <c r="O298" i="1"/>
  <c r="P298" i="1"/>
  <c r="Q298" i="1"/>
  <c r="R298" i="1"/>
  <c r="S298" i="1"/>
  <c r="T298" i="1"/>
  <c r="U298" i="1"/>
  <c r="V298" i="1"/>
  <c r="W298" i="1"/>
  <c r="K299" i="1"/>
  <c r="M299" i="1"/>
  <c r="N299" i="1"/>
  <c r="O299" i="1"/>
  <c r="P299" i="1"/>
  <c r="Q299" i="1"/>
  <c r="R299" i="1"/>
  <c r="S299" i="1"/>
  <c r="T299" i="1"/>
  <c r="U299" i="1"/>
  <c r="V299" i="1"/>
  <c r="W299" i="1"/>
  <c r="K300" i="1"/>
  <c r="M300" i="1"/>
  <c r="N300" i="1"/>
  <c r="O300" i="1"/>
  <c r="P300" i="1"/>
  <c r="Q300" i="1"/>
  <c r="R300" i="1"/>
  <c r="S300" i="1"/>
  <c r="T300" i="1"/>
  <c r="U300" i="1"/>
  <c r="V300" i="1"/>
  <c r="W300" i="1"/>
  <c r="K301" i="1"/>
  <c r="M301" i="1"/>
  <c r="N301" i="1"/>
  <c r="O301" i="1"/>
  <c r="P301" i="1"/>
  <c r="Q301" i="1"/>
  <c r="R301" i="1"/>
  <c r="S301" i="1"/>
  <c r="T301" i="1"/>
  <c r="U301" i="1"/>
  <c r="V301" i="1"/>
  <c r="W301" i="1"/>
  <c r="K302" i="1"/>
  <c r="M302" i="1"/>
  <c r="N302" i="1"/>
  <c r="O302" i="1"/>
  <c r="P302" i="1"/>
  <c r="Q302" i="1"/>
  <c r="R302" i="1"/>
  <c r="S302" i="1"/>
  <c r="T302" i="1"/>
  <c r="U302" i="1"/>
  <c r="V302" i="1"/>
  <c r="W302" i="1"/>
  <c r="K303" i="1"/>
  <c r="M303" i="1"/>
  <c r="N303" i="1"/>
  <c r="O303" i="1"/>
  <c r="P303" i="1"/>
  <c r="Q303" i="1"/>
  <c r="R303" i="1"/>
  <c r="S303" i="1"/>
  <c r="T303" i="1"/>
  <c r="U303" i="1"/>
  <c r="V303" i="1"/>
  <c r="W303" i="1"/>
  <c r="K304" i="1"/>
  <c r="M304" i="1"/>
  <c r="N304" i="1"/>
  <c r="O304" i="1"/>
  <c r="P304" i="1"/>
  <c r="Q304" i="1"/>
  <c r="R304" i="1"/>
  <c r="S304" i="1"/>
  <c r="T304" i="1"/>
  <c r="U304" i="1"/>
  <c r="V304" i="1"/>
  <c r="W304" i="1"/>
  <c r="K305" i="1"/>
  <c r="M305" i="1"/>
  <c r="N305" i="1"/>
  <c r="O305" i="1"/>
  <c r="P305" i="1"/>
  <c r="Q305" i="1"/>
  <c r="R305" i="1"/>
  <c r="S305" i="1"/>
  <c r="T305" i="1"/>
  <c r="U305" i="1"/>
  <c r="V305" i="1"/>
  <c r="W305" i="1"/>
  <c r="K306" i="1"/>
  <c r="M306" i="1"/>
  <c r="N306" i="1"/>
  <c r="O306" i="1"/>
  <c r="P306" i="1"/>
  <c r="Q306" i="1"/>
  <c r="R306" i="1"/>
  <c r="S306" i="1"/>
  <c r="T306" i="1"/>
  <c r="U306" i="1"/>
  <c r="V306" i="1"/>
  <c r="W306" i="1"/>
  <c r="K307" i="1"/>
  <c r="M307" i="1"/>
  <c r="N307" i="1"/>
  <c r="O307" i="1"/>
  <c r="P307" i="1"/>
  <c r="Q307" i="1"/>
  <c r="R307" i="1"/>
  <c r="S307" i="1"/>
  <c r="T307" i="1"/>
  <c r="U307" i="1"/>
  <c r="V307" i="1"/>
  <c r="W307" i="1"/>
  <c r="K308" i="1"/>
  <c r="M308" i="1"/>
  <c r="N308" i="1"/>
  <c r="O308" i="1"/>
  <c r="P308" i="1"/>
  <c r="Q308" i="1"/>
  <c r="R308" i="1"/>
  <c r="S308" i="1"/>
  <c r="T308" i="1"/>
  <c r="U308" i="1"/>
  <c r="V308" i="1"/>
  <c r="W308" i="1"/>
  <c r="K309" i="1"/>
  <c r="M309" i="1"/>
  <c r="N309" i="1"/>
  <c r="O309" i="1"/>
  <c r="P309" i="1"/>
  <c r="Q309" i="1"/>
  <c r="R309" i="1"/>
  <c r="S309" i="1"/>
  <c r="T309" i="1"/>
  <c r="U309" i="1"/>
  <c r="V309" i="1"/>
  <c r="W309" i="1"/>
  <c r="K310" i="1"/>
  <c r="M310" i="1"/>
  <c r="N310" i="1"/>
  <c r="O310" i="1"/>
  <c r="P310" i="1"/>
  <c r="Q310" i="1"/>
  <c r="R310" i="1"/>
  <c r="S310" i="1"/>
  <c r="T310" i="1"/>
  <c r="U310" i="1"/>
  <c r="V310" i="1"/>
  <c r="W310" i="1"/>
  <c r="K311" i="1"/>
  <c r="M311" i="1"/>
  <c r="N311" i="1"/>
  <c r="O311" i="1"/>
  <c r="P311" i="1"/>
  <c r="Q311" i="1"/>
  <c r="R311" i="1"/>
  <c r="S311" i="1"/>
  <c r="T311" i="1"/>
  <c r="U311" i="1"/>
  <c r="V311" i="1"/>
  <c r="W311" i="1"/>
  <c r="K312" i="1"/>
  <c r="M312" i="1"/>
  <c r="N312" i="1"/>
  <c r="O312" i="1"/>
  <c r="P312" i="1"/>
  <c r="Q312" i="1"/>
  <c r="R312" i="1"/>
  <c r="S312" i="1"/>
  <c r="T312" i="1"/>
  <c r="U312" i="1"/>
  <c r="V312" i="1"/>
  <c r="W312" i="1"/>
  <c r="K313" i="1"/>
  <c r="M313" i="1"/>
  <c r="N313" i="1"/>
  <c r="O313" i="1"/>
  <c r="P313" i="1"/>
  <c r="Q313" i="1"/>
  <c r="R313" i="1"/>
  <c r="S313" i="1"/>
  <c r="T313" i="1"/>
  <c r="U313" i="1"/>
  <c r="V313" i="1"/>
  <c r="W313" i="1"/>
  <c r="K314" i="1"/>
  <c r="M314" i="1"/>
  <c r="N314" i="1"/>
  <c r="O314" i="1"/>
  <c r="P314" i="1"/>
  <c r="Q314" i="1"/>
  <c r="R314" i="1"/>
  <c r="S314" i="1"/>
  <c r="T314" i="1"/>
  <c r="U314" i="1"/>
  <c r="V314" i="1"/>
  <c r="W314" i="1"/>
  <c r="K315" i="1"/>
  <c r="M315" i="1"/>
  <c r="N315" i="1"/>
  <c r="O315" i="1"/>
  <c r="P315" i="1"/>
  <c r="Q315" i="1"/>
  <c r="R315" i="1"/>
  <c r="S315" i="1"/>
  <c r="T315" i="1"/>
  <c r="U315" i="1"/>
  <c r="V315" i="1"/>
  <c r="W315" i="1"/>
  <c r="K316" i="1"/>
  <c r="M316" i="1"/>
  <c r="N316" i="1"/>
  <c r="O316" i="1"/>
  <c r="P316" i="1"/>
  <c r="Q316" i="1"/>
  <c r="R316" i="1"/>
  <c r="S316" i="1"/>
  <c r="T316" i="1"/>
  <c r="U316" i="1"/>
  <c r="V316" i="1"/>
  <c r="W316" i="1"/>
  <c r="K317" i="1"/>
  <c r="M317" i="1"/>
  <c r="N317" i="1"/>
  <c r="O317" i="1"/>
  <c r="P317" i="1"/>
  <c r="Q317" i="1"/>
  <c r="R317" i="1"/>
  <c r="S317" i="1"/>
  <c r="T317" i="1"/>
  <c r="U317" i="1"/>
  <c r="V317" i="1"/>
  <c r="W317" i="1"/>
  <c r="K318" i="1"/>
  <c r="M318" i="1"/>
  <c r="N318" i="1"/>
  <c r="O318" i="1"/>
  <c r="P318" i="1"/>
  <c r="Q318" i="1"/>
  <c r="R318" i="1"/>
  <c r="S318" i="1"/>
  <c r="T318" i="1"/>
  <c r="U318" i="1"/>
  <c r="V318" i="1"/>
  <c r="W318" i="1"/>
  <c r="K319" i="1"/>
  <c r="M319" i="1"/>
  <c r="N319" i="1"/>
  <c r="O319" i="1"/>
  <c r="P319" i="1"/>
  <c r="Q319" i="1"/>
  <c r="R319" i="1"/>
  <c r="S319" i="1"/>
  <c r="T319" i="1"/>
  <c r="U319" i="1"/>
  <c r="V319" i="1"/>
  <c r="W319" i="1"/>
  <c r="K320" i="1"/>
  <c r="M320" i="1"/>
  <c r="N320" i="1"/>
  <c r="O320" i="1"/>
  <c r="P320" i="1"/>
  <c r="Q320" i="1"/>
  <c r="R320" i="1"/>
  <c r="S320" i="1"/>
  <c r="T320" i="1"/>
  <c r="U320" i="1"/>
  <c r="V320" i="1"/>
  <c r="W320" i="1"/>
  <c r="K321" i="1"/>
  <c r="M321" i="1"/>
  <c r="N321" i="1"/>
  <c r="O321" i="1"/>
  <c r="P321" i="1"/>
  <c r="Q321" i="1"/>
  <c r="R321" i="1"/>
  <c r="S321" i="1"/>
  <c r="T321" i="1"/>
  <c r="U321" i="1"/>
  <c r="V321" i="1"/>
  <c r="W321" i="1"/>
  <c r="K322" i="1"/>
  <c r="M322" i="1"/>
  <c r="N322" i="1"/>
  <c r="O322" i="1"/>
  <c r="P322" i="1"/>
  <c r="Q322" i="1"/>
  <c r="R322" i="1"/>
  <c r="S322" i="1"/>
  <c r="T322" i="1"/>
  <c r="U322" i="1"/>
  <c r="V322" i="1"/>
  <c r="W322" i="1"/>
  <c r="K323" i="1"/>
  <c r="M323" i="1"/>
  <c r="N323" i="1"/>
  <c r="O323" i="1"/>
  <c r="P323" i="1"/>
  <c r="Q323" i="1"/>
  <c r="R323" i="1"/>
  <c r="S323" i="1"/>
  <c r="T323" i="1"/>
  <c r="U323" i="1"/>
  <c r="V323" i="1"/>
  <c r="W323" i="1"/>
  <c r="K324" i="1"/>
  <c r="M324" i="1"/>
  <c r="N324" i="1"/>
  <c r="O324" i="1"/>
  <c r="P324" i="1"/>
  <c r="Q324" i="1"/>
  <c r="R324" i="1"/>
  <c r="S324" i="1"/>
  <c r="T324" i="1"/>
  <c r="U324" i="1"/>
  <c r="V324" i="1"/>
  <c r="W324" i="1"/>
  <c r="K325" i="1"/>
  <c r="M325" i="1"/>
  <c r="N325" i="1"/>
  <c r="O325" i="1"/>
  <c r="P325" i="1"/>
  <c r="Q325" i="1"/>
  <c r="R325" i="1"/>
  <c r="S325" i="1"/>
  <c r="T325" i="1"/>
  <c r="U325" i="1"/>
  <c r="V325" i="1"/>
  <c r="W325" i="1"/>
  <c r="K326" i="1"/>
  <c r="M326" i="1"/>
  <c r="N326" i="1"/>
  <c r="O326" i="1"/>
  <c r="P326" i="1"/>
  <c r="Q326" i="1"/>
  <c r="R326" i="1"/>
  <c r="S326" i="1"/>
  <c r="T326" i="1"/>
  <c r="U326" i="1"/>
  <c r="V326" i="1"/>
  <c r="W326" i="1"/>
  <c r="K327" i="1"/>
  <c r="M327" i="1"/>
  <c r="N327" i="1"/>
  <c r="O327" i="1"/>
  <c r="P327" i="1"/>
  <c r="Q327" i="1"/>
  <c r="R327" i="1"/>
  <c r="S327" i="1"/>
  <c r="T327" i="1"/>
  <c r="U327" i="1"/>
  <c r="V327" i="1"/>
  <c r="W327" i="1"/>
  <c r="K328" i="1"/>
  <c r="M328" i="1"/>
  <c r="N328" i="1"/>
  <c r="O328" i="1"/>
  <c r="P328" i="1"/>
  <c r="Q328" i="1"/>
  <c r="R328" i="1"/>
  <c r="S328" i="1"/>
  <c r="T328" i="1"/>
  <c r="U328" i="1"/>
  <c r="V328" i="1"/>
  <c r="W328" i="1"/>
  <c r="K329" i="1"/>
  <c r="M329" i="1"/>
  <c r="N329" i="1"/>
  <c r="O329" i="1"/>
  <c r="P329" i="1"/>
  <c r="Q329" i="1"/>
  <c r="R329" i="1"/>
  <c r="S329" i="1"/>
  <c r="T329" i="1"/>
  <c r="U329" i="1"/>
  <c r="V329" i="1"/>
  <c r="W329" i="1"/>
  <c r="K330" i="1"/>
  <c r="M330" i="1"/>
  <c r="N330" i="1"/>
  <c r="O330" i="1"/>
  <c r="P330" i="1"/>
  <c r="Q330" i="1"/>
  <c r="R330" i="1"/>
  <c r="S330" i="1"/>
  <c r="T330" i="1"/>
  <c r="U330" i="1"/>
  <c r="V330" i="1"/>
  <c r="W330" i="1"/>
  <c r="K331" i="1"/>
  <c r="M331" i="1"/>
  <c r="N331" i="1"/>
  <c r="O331" i="1"/>
  <c r="P331" i="1"/>
  <c r="Q331" i="1"/>
  <c r="R331" i="1"/>
  <c r="S331" i="1"/>
  <c r="T331" i="1"/>
  <c r="U331" i="1"/>
  <c r="V331" i="1"/>
  <c r="W331" i="1"/>
  <c r="A367" i="14" l="1"/>
  <c r="A353" i="14"/>
  <c r="A365" i="14"/>
  <c r="A361" i="14"/>
  <c r="A345" i="14"/>
  <c r="A357" i="14"/>
  <c r="A347" i="14"/>
  <c r="A359" i="14"/>
  <c r="A351" i="14"/>
  <c r="A363" i="14"/>
  <c r="A355" i="14"/>
  <c r="A349" i="14"/>
  <c r="A339" i="14"/>
  <c r="A327" i="14"/>
  <c r="A321" i="14"/>
  <c r="A313" i="14"/>
  <c r="A305" i="14"/>
  <c r="A297" i="14"/>
  <c r="A291" i="14"/>
  <c r="A283" i="14"/>
  <c r="A277" i="14"/>
  <c r="A273" i="14"/>
  <c r="A267" i="14"/>
  <c r="A259" i="14"/>
  <c r="A255" i="14"/>
  <c r="A253" i="14"/>
  <c r="A247" i="14"/>
  <c r="A241" i="14"/>
  <c r="A239" i="14"/>
  <c r="A237" i="14"/>
  <c r="A233" i="14"/>
  <c r="A231" i="14"/>
  <c r="A229" i="14"/>
  <c r="A227" i="14"/>
  <c r="A223" i="14"/>
  <c r="A221" i="14"/>
  <c r="A219" i="14"/>
  <c r="A217" i="14"/>
  <c r="A215" i="14"/>
  <c r="A213" i="14"/>
  <c r="A211" i="14"/>
  <c r="A209" i="14"/>
  <c r="A207" i="14"/>
  <c r="A205" i="14"/>
  <c r="A203" i="14"/>
  <c r="A201" i="14"/>
  <c r="A199" i="14"/>
  <c r="A197" i="14"/>
  <c r="A195" i="14"/>
  <c r="A193" i="14"/>
  <c r="A191" i="14"/>
  <c r="A189" i="14"/>
  <c r="A187" i="14"/>
  <c r="A331" i="14"/>
  <c r="A319" i="14"/>
  <c r="A317" i="14"/>
  <c r="A303" i="14"/>
  <c r="A293" i="14"/>
  <c r="A281" i="14"/>
  <c r="A275" i="14"/>
  <c r="A271" i="14"/>
  <c r="A263" i="14"/>
  <c r="A261" i="14"/>
  <c r="A243" i="14"/>
  <c r="A235" i="14"/>
  <c r="A343" i="14"/>
  <c r="A337" i="14"/>
  <c r="A333" i="14"/>
  <c r="A323" i="14"/>
  <c r="A311" i="14"/>
  <c r="A307" i="14"/>
  <c r="A299" i="14"/>
  <c r="A289" i="14"/>
  <c r="A279" i="14"/>
  <c r="A249" i="14"/>
  <c r="A341" i="14"/>
  <c r="A335" i="14"/>
  <c r="A329" i="14"/>
  <c r="A325" i="14"/>
  <c r="A315" i="14"/>
  <c r="A309" i="14"/>
  <c r="A301" i="14"/>
  <c r="A295" i="14"/>
  <c r="A287" i="14"/>
  <c r="A285" i="14"/>
  <c r="A269" i="14"/>
  <c r="A265" i="14"/>
  <c r="A257" i="14"/>
  <c r="A251" i="14"/>
  <c r="A245" i="14"/>
  <c r="A225" i="14"/>
  <c r="A185" i="14"/>
  <c r="A183" i="14"/>
  <c r="A181" i="14"/>
  <c r="A179" i="14"/>
  <c r="A177" i="14"/>
  <c r="A175" i="14"/>
  <c r="A173" i="14"/>
  <c r="A171" i="14"/>
  <c r="A169" i="14"/>
  <c r="A167" i="14"/>
  <c r="A165" i="14"/>
  <c r="A163" i="14"/>
  <c r="A161" i="14"/>
  <c r="A159" i="14"/>
  <c r="A157" i="14"/>
  <c r="A155" i="14"/>
  <c r="A153" i="14"/>
  <c r="A151" i="14"/>
  <c r="A149" i="14"/>
  <c r="A147" i="14"/>
  <c r="A145" i="14"/>
  <c r="A143" i="14"/>
  <c r="A141" i="14"/>
  <c r="A139" i="14"/>
  <c r="A137" i="14"/>
  <c r="A135" i="14"/>
  <c r="A133" i="14"/>
  <c r="A131" i="14"/>
  <c r="A129" i="14"/>
  <c r="A127" i="14"/>
  <c r="A125" i="14"/>
  <c r="A123" i="14"/>
  <c r="A121" i="14"/>
  <c r="A119" i="14"/>
  <c r="A117" i="14"/>
  <c r="A115" i="14"/>
  <c r="A113" i="14"/>
  <c r="A111" i="14"/>
  <c r="A109" i="14"/>
  <c r="A107" i="14"/>
  <c r="A105" i="14"/>
  <c r="A103" i="14"/>
  <c r="A101" i="14"/>
  <c r="A99" i="14"/>
  <c r="A97" i="14"/>
  <c r="A95" i="14"/>
  <c r="A93" i="14"/>
  <c r="A91" i="14"/>
  <c r="A89" i="14"/>
  <c r="A87" i="14"/>
  <c r="A85" i="14"/>
  <c r="A83" i="14"/>
  <c r="A81" i="14"/>
  <c r="A79" i="14"/>
  <c r="A77" i="14"/>
  <c r="A75" i="14"/>
  <c r="A73" i="14"/>
  <c r="A71" i="14"/>
  <c r="A69" i="14"/>
  <c r="A67" i="14"/>
  <c r="A65" i="14"/>
  <c r="A63" i="14"/>
  <c r="A61" i="14"/>
  <c r="A59" i="14"/>
  <c r="A57" i="14"/>
  <c r="A55" i="14"/>
  <c r="A53" i="14"/>
  <c r="A51" i="14"/>
  <c r="A49" i="14"/>
  <c r="A47" i="14"/>
  <c r="A45" i="14"/>
  <c r="A43" i="14"/>
  <c r="A41" i="14"/>
  <c r="A39" i="14"/>
  <c r="A37" i="14"/>
  <c r="A35" i="14"/>
  <c r="A33" i="14"/>
  <c r="A31" i="14"/>
  <c r="A29" i="14"/>
  <c r="A27" i="14"/>
  <c r="A25" i="14"/>
  <c r="A23" i="14"/>
  <c r="A21" i="14"/>
  <c r="A19" i="14"/>
  <c r="A17" i="14"/>
  <c r="A15" i="14"/>
  <c r="A11" i="14"/>
  <c r="A13" i="14"/>
  <c r="A9" i="14"/>
  <c r="A7" i="14"/>
  <c r="A5" i="14"/>
  <c r="A362" i="14"/>
  <c r="A354" i="14"/>
  <c r="A346" i="14"/>
  <c r="A340" i="14"/>
  <c r="A336" i="14"/>
  <c r="A326" i="14"/>
  <c r="A314" i="14"/>
  <c r="A300" i="14"/>
  <c r="A292" i="14"/>
  <c r="A288" i="14"/>
  <c r="A272" i="14"/>
  <c r="A266" i="14"/>
  <c r="A256" i="14"/>
  <c r="A242" i="14"/>
  <c r="A230" i="14"/>
  <c r="A226" i="14"/>
  <c r="A224" i="14"/>
  <c r="A222" i="14"/>
  <c r="A218" i="14"/>
  <c r="A216" i="14"/>
  <c r="A214" i="14"/>
  <c r="A212" i="14"/>
  <c r="A210" i="14"/>
  <c r="A208" i="14"/>
  <c r="A206" i="14"/>
  <c r="A204" i="14"/>
  <c r="A202" i="14"/>
  <c r="A200" i="14"/>
  <c r="A198" i="14"/>
  <c r="A196" i="14"/>
  <c r="A194" i="14"/>
  <c r="A192" i="14"/>
  <c r="A190" i="14"/>
  <c r="A188" i="14"/>
  <c r="A186" i="14"/>
  <c r="A184" i="14"/>
  <c r="A182" i="14"/>
  <c r="A180" i="14"/>
  <c r="A178" i="14"/>
  <c r="A176" i="14"/>
  <c r="A174" i="14"/>
  <c r="A172" i="14"/>
  <c r="A358" i="14"/>
  <c r="A352" i="14"/>
  <c r="A334" i="14"/>
  <c r="A332" i="14"/>
  <c r="A324" i="14"/>
  <c r="A322" i="14"/>
  <c r="A318" i="14"/>
  <c r="A310" i="14"/>
  <c r="A308" i="14"/>
  <c r="A304" i="14"/>
  <c r="A298" i="14"/>
  <c r="A296" i="14"/>
  <c r="A286" i="14"/>
  <c r="A284" i="14"/>
  <c r="A276" i="14"/>
  <c r="A268" i="14"/>
  <c r="A262" i="14"/>
  <c r="A260" i="14"/>
  <c r="A254" i="14"/>
  <c r="A248" i="14"/>
  <c r="A246" i="14"/>
  <c r="A236" i="14"/>
  <c r="A232" i="14"/>
  <c r="A228" i="14"/>
  <c r="A220" i="14"/>
  <c r="A364" i="14"/>
  <c r="A360" i="14"/>
  <c r="A350" i="14"/>
  <c r="A344" i="14"/>
  <c r="A338" i="14"/>
  <c r="A330" i="14"/>
  <c r="A320" i="14"/>
  <c r="A316" i="14"/>
  <c r="A312" i="14"/>
  <c r="A302" i="14"/>
  <c r="A290" i="14"/>
  <c r="A282" i="14"/>
  <c r="A280" i="14"/>
  <c r="A278" i="14"/>
  <c r="A270" i="14"/>
  <c r="A258" i="14"/>
  <c r="A252" i="14"/>
  <c r="A244" i="14"/>
  <c r="A240" i="14"/>
  <c r="A238" i="14"/>
  <c r="A234" i="14"/>
  <c r="A366" i="14"/>
  <c r="A356" i="14"/>
  <c r="A348" i="14"/>
  <c r="A342" i="14"/>
  <c r="A328" i="14"/>
  <c r="A306" i="14"/>
  <c r="A294" i="14"/>
  <c r="A274" i="14"/>
  <c r="A264" i="14"/>
  <c r="A250" i="14"/>
  <c r="A170" i="14"/>
  <c r="A168" i="14"/>
  <c r="A166" i="14"/>
  <c r="A164" i="14"/>
  <c r="A162" i="14"/>
  <c r="A160" i="14"/>
  <c r="A158" i="14"/>
  <c r="A156" i="14"/>
  <c r="A154" i="14"/>
  <c r="A152" i="14"/>
  <c r="A150" i="14"/>
  <c r="A148" i="14"/>
  <c r="A146" i="14"/>
  <c r="A144" i="14"/>
  <c r="A142" i="14"/>
  <c r="A140" i="14"/>
  <c r="A138" i="14"/>
  <c r="A136" i="14"/>
  <c r="A134" i="14"/>
  <c r="A132" i="14"/>
  <c r="A130" i="14"/>
  <c r="A128" i="14"/>
  <c r="A126" i="14"/>
  <c r="A124" i="14"/>
  <c r="A122" i="14"/>
  <c r="A120" i="14"/>
  <c r="A118" i="14"/>
  <c r="A116" i="14"/>
  <c r="A114" i="14"/>
  <c r="A112" i="14"/>
  <c r="A110" i="14"/>
  <c r="A108" i="14"/>
  <c r="A106" i="14"/>
  <c r="A104" i="14"/>
  <c r="A102" i="14"/>
  <c r="A100" i="14"/>
  <c r="A98" i="14"/>
  <c r="A96" i="14"/>
  <c r="A94" i="14"/>
  <c r="A92" i="14"/>
  <c r="A90" i="14"/>
  <c r="A88" i="14"/>
  <c r="A86" i="14"/>
  <c r="A84" i="14"/>
  <c r="A82" i="14"/>
  <c r="A80" i="14"/>
  <c r="A78" i="14"/>
  <c r="A76" i="14"/>
  <c r="A74" i="14"/>
  <c r="A72" i="14"/>
  <c r="A70" i="14"/>
  <c r="A68" i="14"/>
  <c r="A66" i="14"/>
  <c r="A64" i="14"/>
  <c r="A62" i="14"/>
  <c r="A60" i="14"/>
  <c r="A58" i="14"/>
  <c r="A56" i="14"/>
  <c r="A54" i="14"/>
  <c r="A52" i="14"/>
  <c r="A50" i="14"/>
  <c r="A48" i="14"/>
  <c r="A46" i="14"/>
  <c r="A44" i="14"/>
  <c r="A42" i="14"/>
  <c r="A40" i="14"/>
  <c r="A38" i="14"/>
  <c r="A36" i="14"/>
  <c r="A34" i="14"/>
  <c r="A32" i="14"/>
  <c r="A30" i="14"/>
  <c r="A28" i="14"/>
  <c r="A26" i="14"/>
  <c r="A24" i="14"/>
  <c r="A22" i="14"/>
  <c r="A20" i="14"/>
  <c r="A18" i="14"/>
  <c r="A16" i="14"/>
  <c r="A14" i="14"/>
  <c r="A12" i="14"/>
  <c r="A10" i="14"/>
  <c r="A8" i="14"/>
  <c r="A6" i="14"/>
  <c r="A4" i="14"/>
  <c r="M3" i="1"/>
  <c r="V3" i="1"/>
  <c r="T3" i="1"/>
  <c r="S3" i="1"/>
  <c r="R3" i="1"/>
  <c r="Q3" i="1"/>
  <c r="P3" i="1"/>
  <c r="K3" i="1"/>
  <c r="A1" i="14" l="1"/>
  <c r="A8" i="1"/>
  <c r="A241" i="1"/>
  <c r="A232" i="1"/>
  <c r="A133" i="1"/>
  <c r="A134" i="1"/>
  <c r="A5" i="1"/>
  <c r="A6" i="1"/>
  <c r="A7" i="1"/>
  <c r="A9" i="1"/>
  <c r="A10" i="1"/>
  <c r="A11" i="1"/>
  <c r="A12" i="1"/>
  <c r="A13" i="1"/>
  <c r="A15" i="1"/>
  <c r="A16" i="1"/>
  <c r="A17" i="1"/>
  <c r="A18" i="1"/>
  <c r="A19" i="1"/>
  <c r="A20" i="1"/>
  <c r="A21" i="1"/>
  <c r="A24" i="1"/>
  <c r="A25" i="1"/>
  <c r="A26" i="1"/>
  <c r="A27" i="1"/>
  <c r="A28" i="1"/>
  <c r="A29" i="1"/>
  <c r="A30" i="1"/>
  <c r="A31" i="1"/>
  <c r="A33" i="1"/>
  <c r="A34" i="1"/>
  <c r="A36" i="1"/>
  <c r="A37" i="1"/>
  <c r="A38" i="1"/>
  <c r="A39" i="1"/>
  <c r="A40" i="1"/>
  <c r="A41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80" i="1"/>
  <c r="A81" i="1"/>
  <c r="A82" i="1"/>
  <c r="A83" i="1"/>
  <c r="A84" i="1"/>
  <c r="A86" i="1"/>
  <c r="A87" i="1"/>
  <c r="A88" i="1"/>
  <c r="A90" i="1"/>
  <c r="A91" i="1"/>
  <c r="A92" i="1"/>
  <c r="A93" i="1"/>
  <c r="A94" i="1"/>
  <c r="A95" i="1"/>
  <c r="A96" i="1"/>
  <c r="A97" i="1"/>
  <c r="A98" i="1"/>
  <c r="A99" i="1"/>
  <c r="A101" i="1"/>
  <c r="A102" i="1"/>
  <c r="A103" i="1"/>
  <c r="A104" i="1"/>
  <c r="A105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2" i="1"/>
  <c r="A123" i="1"/>
  <c r="A124" i="1"/>
  <c r="A125" i="1"/>
  <c r="A127" i="1"/>
  <c r="A129" i="1"/>
  <c r="A130" i="1"/>
  <c r="A131" i="1"/>
  <c r="A132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9" i="1"/>
  <c r="A150" i="1"/>
  <c r="A152" i="1"/>
  <c r="A153" i="1"/>
  <c r="A154" i="1"/>
  <c r="A155" i="1"/>
  <c r="A156" i="1"/>
  <c r="A157" i="1"/>
  <c r="A159" i="1"/>
  <c r="A160" i="1"/>
  <c r="A161" i="1"/>
  <c r="A162" i="1"/>
  <c r="A163" i="1"/>
  <c r="A164" i="1"/>
  <c r="A165" i="1"/>
  <c r="A166" i="1"/>
  <c r="A167" i="1"/>
  <c r="A169" i="1"/>
  <c r="A170" i="1"/>
  <c r="A171" i="1"/>
  <c r="A172" i="1"/>
  <c r="A173" i="1"/>
  <c r="A174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7" i="1"/>
  <c r="A228" i="1"/>
  <c r="A230" i="1"/>
  <c r="A231" i="1"/>
  <c r="A233" i="1"/>
  <c r="A234" i="1"/>
  <c r="A236" i="1"/>
  <c r="A237" i="1"/>
  <c r="A238" i="1"/>
  <c r="A239" i="1"/>
  <c r="A240" i="1"/>
  <c r="A242" i="1"/>
  <c r="A243" i="1"/>
  <c r="A244" i="1"/>
  <c r="A245" i="1"/>
  <c r="A246" i="1"/>
  <c r="A247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7" i="1"/>
  <c r="A278" i="1"/>
  <c r="A279" i="1"/>
  <c r="A280" i="1"/>
  <c r="A281" i="1"/>
  <c r="A282" i="1"/>
  <c r="A283" i="1"/>
  <c r="A284" i="1"/>
  <c r="A285" i="1"/>
  <c r="A286" i="1"/>
  <c r="A287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U3" i="1" l="1"/>
  <c r="W3" i="1"/>
  <c r="A3" i="14" s="1"/>
  <c r="O3" i="1"/>
  <c r="N3" i="1"/>
  <c r="A171" i="13" l="1"/>
  <c r="A135" i="13"/>
  <c r="A4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3" i="1"/>
  <c r="A46" i="5"/>
  <c r="A122" i="5"/>
  <c r="A123" i="5"/>
  <c r="A129" i="5"/>
  <c r="A141" i="5"/>
  <c r="A139" i="5"/>
  <c r="A140" i="5"/>
  <c r="A138" i="5"/>
  <c r="A137" i="5"/>
  <c r="A136" i="5"/>
  <c r="A135" i="5"/>
  <c r="A134" i="5"/>
  <c r="A133" i="5"/>
  <c r="A132" i="5"/>
  <c r="A131" i="5"/>
  <c r="A130" i="5"/>
  <c r="A128" i="5"/>
  <c r="A127" i="5"/>
  <c r="A126" i="5"/>
  <c r="A125" i="5"/>
  <c r="A124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5" i="5"/>
  <c r="A44" i="5"/>
  <c r="A43" i="5"/>
  <c r="A42" i="5"/>
  <c r="A41" i="5"/>
  <c r="A40" i="5"/>
  <c r="A39" i="5"/>
  <c r="A38" i="5"/>
  <c r="A36" i="5"/>
  <c r="A35" i="5"/>
  <c r="A34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</calcChain>
</file>

<file path=xl/sharedStrings.xml><?xml version="1.0" encoding="utf-8"?>
<sst xmlns="http://schemas.openxmlformats.org/spreadsheetml/2006/main" count="5672" uniqueCount="1966">
  <si>
    <t>#</t>
  </si>
  <si>
    <t>WIP</t>
  </si>
  <si>
    <t>Key</t>
  </si>
  <si>
    <t>Title</t>
  </si>
  <si>
    <t>Artist</t>
  </si>
  <si>
    <t>Cover?</t>
  </si>
  <si>
    <t>Year</t>
  </si>
  <si>
    <t>Genre 1</t>
  </si>
  <si>
    <t>Genre 2</t>
  </si>
  <si>
    <t>Listen</t>
  </si>
  <si>
    <t>Em</t>
  </si>
  <si>
    <t>James Blunt</t>
  </si>
  <si>
    <t>Rock</t>
  </si>
  <si>
    <t>Pop</t>
  </si>
  <si>
    <t>F</t>
  </si>
  <si>
    <t>A Little More</t>
  </si>
  <si>
    <t>Eric Hutchinson</t>
  </si>
  <si>
    <t>Dm</t>
  </si>
  <si>
    <t>A Man For All Seasons</t>
  </si>
  <si>
    <t>Robbie Williams</t>
  </si>
  <si>
    <t>Soundtrack</t>
  </si>
  <si>
    <t>E</t>
  </si>
  <si>
    <t>A Thousand Miles</t>
  </si>
  <si>
    <t>Vanessa Carlton</t>
  </si>
  <si>
    <t>A Thousand Years</t>
  </si>
  <si>
    <t>Christina Perri</t>
  </si>
  <si>
    <t>Gm</t>
  </si>
  <si>
    <t>Adventure Of A Lifetime</t>
  </si>
  <si>
    <t>Coldplay</t>
  </si>
  <si>
    <t>Alternative</t>
  </si>
  <si>
    <t>G#</t>
  </si>
  <si>
    <t>Africa</t>
  </si>
  <si>
    <t>Toto</t>
  </si>
  <si>
    <t>Soft Rock</t>
  </si>
  <si>
    <t>C#</t>
  </si>
  <si>
    <t>All About You</t>
  </si>
  <si>
    <t>McFly</t>
  </si>
  <si>
    <t>D</t>
  </si>
  <si>
    <t>All I Have To Do Is Dream</t>
  </si>
  <si>
    <t>Everly Brothers</t>
  </si>
  <si>
    <t>Rock 'n' roll</t>
  </si>
  <si>
    <t>All I Want</t>
  </si>
  <si>
    <t>Kodaline</t>
  </si>
  <si>
    <t>Indie</t>
  </si>
  <si>
    <t>All Star</t>
  </si>
  <si>
    <t>Smash Mouth</t>
  </si>
  <si>
    <t>G</t>
  </si>
  <si>
    <t>Angel Of The Morning</t>
  </si>
  <si>
    <t>Juice Newton</t>
  </si>
  <si>
    <t>Country</t>
  </si>
  <si>
    <t>Angels</t>
  </si>
  <si>
    <t>Pop / Gospel</t>
  </si>
  <si>
    <t>Annie's Song</t>
  </si>
  <si>
    <t>John Denver</t>
  </si>
  <si>
    <t>Folk / Country</t>
  </si>
  <si>
    <t>Cm</t>
  </si>
  <si>
    <t>Antonio's Song</t>
  </si>
  <si>
    <t>Michael Franks</t>
  </si>
  <si>
    <t>Til Broenner</t>
  </si>
  <si>
    <t>Jazz</t>
  </si>
  <si>
    <t>Smooth</t>
  </si>
  <si>
    <t>April Come She Will</t>
  </si>
  <si>
    <t>Simon and Garfunkel</t>
  </si>
  <si>
    <t>Folk</t>
  </si>
  <si>
    <t>Eric Clapton</t>
  </si>
  <si>
    <t>Various</t>
  </si>
  <si>
    <t>Blues</t>
  </si>
  <si>
    <t>Ave Maria</t>
  </si>
  <si>
    <t>Beyonce</t>
  </si>
  <si>
    <t>RnB</t>
  </si>
  <si>
    <t>Reggae</t>
  </si>
  <si>
    <t>Bm</t>
  </si>
  <si>
    <t>Baby One More Time</t>
  </si>
  <si>
    <t>Britney Spears</t>
  </si>
  <si>
    <t>Beautiful Tango</t>
  </si>
  <si>
    <t>Hindi Zahra</t>
  </si>
  <si>
    <t>Soul</t>
  </si>
  <si>
    <t>Am</t>
  </si>
  <si>
    <t>Besame Mucho</t>
  </si>
  <si>
    <t>Andrea Bocelli</t>
  </si>
  <si>
    <t>Consuelo Velazquez</t>
  </si>
  <si>
    <t>Latin</t>
  </si>
  <si>
    <t>Bolero</t>
  </si>
  <si>
    <t>Better When I'm Dancing</t>
  </si>
  <si>
    <t>Meghan Trainor</t>
  </si>
  <si>
    <t>Bistro Fada</t>
  </si>
  <si>
    <t>Stephane Wrembel</t>
  </si>
  <si>
    <t>Instrumental</t>
  </si>
  <si>
    <t>Gypsy Jazz</t>
  </si>
  <si>
    <t>Blackbird</t>
  </si>
  <si>
    <t>Beatles</t>
  </si>
  <si>
    <t>Blowin' In The Wind</t>
  </si>
  <si>
    <t>Bob Dylan</t>
  </si>
  <si>
    <t>C</t>
  </si>
  <si>
    <t>A</t>
  </si>
  <si>
    <t>Brasileirinho</t>
  </si>
  <si>
    <t>Waldir Azavedo</t>
  </si>
  <si>
    <t>Choro</t>
  </si>
  <si>
    <t>Breakfast At Tiffany's</t>
  </si>
  <si>
    <t>Deep Blue Something</t>
  </si>
  <si>
    <t>Brown Eyed Girl</t>
  </si>
  <si>
    <t>Van Morrison</t>
  </si>
  <si>
    <t>Budapest</t>
  </si>
  <si>
    <t>George Ezra</t>
  </si>
  <si>
    <t>Elvis Presley</t>
  </si>
  <si>
    <t>Fm</t>
  </si>
  <si>
    <t>Butterfly</t>
  </si>
  <si>
    <t>Jason Mraz</t>
  </si>
  <si>
    <t>Bye Bye Love</t>
  </si>
  <si>
    <t>Californication</t>
  </si>
  <si>
    <t>Red Hot Chili Peppers</t>
  </si>
  <si>
    <t>Can't Help Falling In Love</t>
  </si>
  <si>
    <t>Careless Whisper</t>
  </si>
  <si>
    <t>George Michael</t>
  </si>
  <si>
    <t>Carry You Home</t>
  </si>
  <si>
    <t>Matt Simons</t>
  </si>
  <si>
    <t>Chained To The Rhythm</t>
  </si>
  <si>
    <t>Katy Perry</t>
  </si>
  <si>
    <t>Disco</t>
  </si>
  <si>
    <t>Closing Time</t>
  </si>
  <si>
    <t>Semisonic</t>
  </si>
  <si>
    <t>Cloud Number Nine</t>
  </si>
  <si>
    <t>Bryan Adams</t>
  </si>
  <si>
    <t>Come Away With Me</t>
  </si>
  <si>
    <t>Norah Jones</t>
  </si>
  <si>
    <t>Count On Me</t>
  </si>
  <si>
    <t>Bruno Mars</t>
  </si>
  <si>
    <t>James Taylor</t>
  </si>
  <si>
    <t>Country Roads</t>
  </si>
  <si>
    <t>Crazy</t>
  </si>
  <si>
    <t>Gnarles Barkley</t>
  </si>
  <si>
    <t>Crazy Little Thing Called Love</t>
  </si>
  <si>
    <t>Queen</t>
  </si>
  <si>
    <t>Dance With Me Tonight</t>
  </si>
  <si>
    <t>Olly Murs</t>
  </si>
  <si>
    <t>Dancing In The Moonlight</t>
  </si>
  <si>
    <t>Toploader</t>
  </si>
  <si>
    <t>Dancing Queen</t>
  </si>
  <si>
    <t>ABBA</t>
  </si>
  <si>
    <t>Daughters</t>
  </si>
  <si>
    <t>John Mayer</t>
  </si>
  <si>
    <t>Acoustic / Blues</t>
  </si>
  <si>
    <t>Die, Die, Die</t>
  </si>
  <si>
    <t>Avett Brothers</t>
  </si>
  <si>
    <t>Does Your Mother Know</t>
  </si>
  <si>
    <t>F#</t>
  </si>
  <si>
    <t>Don't It Make My Brown Eyes Blue</t>
  </si>
  <si>
    <t>Crystal Gayle</t>
  </si>
  <si>
    <t>Bb</t>
  </si>
  <si>
    <t>Don't Know Why</t>
  </si>
  <si>
    <t>Jesse Harris</t>
  </si>
  <si>
    <t>Don't Let Me Be Lonely Tonight</t>
  </si>
  <si>
    <t>Don't Look Back In Anger</t>
  </si>
  <si>
    <t>Oasis</t>
  </si>
  <si>
    <t>Britpop</t>
  </si>
  <si>
    <t>Don't Stop Me Now</t>
  </si>
  <si>
    <t>Glam</t>
  </si>
  <si>
    <t>Doubting Thomas</t>
  </si>
  <si>
    <t>Nickel Creek</t>
  </si>
  <si>
    <t>Dream A Little Dream Of Me</t>
  </si>
  <si>
    <t>Laura Fygi</t>
  </si>
  <si>
    <t>Drive</t>
  </si>
  <si>
    <t>Incubus</t>
  </si>
  <si>
    <t>Dust in the Wind</t>
  </si>
  <si>
    <t>Kansas</t>
  </si>
  <si>
    <t>Progressive / Soft</t>
  </si>
  <si>
    <t>Earth Angel</t>
  </si>
  <si>
    <t>Death Cab for Cutie</t>
  </si>
  <si>
    <t>The Penguins</t>
  </si>
  <si>
    <t>Eight Days A Week</t>
  </si>
  <si>
    <t>Folk Rock</t>
  </si>
  <si>
    <t>Escape (Pina Colada)</t>
  </si>
  <si>
    <t>Rupert Holmes</t>
  </si>
  <si>
    <t>Every Little Thing She Does Is Magic</t>
  </si>
  <si>
    <t>The Police</t>
  </si>
  <si>
    <t>Everything</t>
  </si>
  <si>
    <t>Michael Buble</t>
  </si>
  <si>
    <t>Everything I Own</t>
  </si>
  <si>
    <t>Bread</t>
  </si>
  <si>
    <t>Faith</t>
  </si>
  <si>
    <t>Fare Thee Well (Dink's Song)</t>
  </si>
  <si>
    <t>Fire and Rain</t>
  </si>
  <si>
    <t>Folk / Soft</t>
  </si>
  <si>
    <t>Fireflies</t>
  </si>
  <si>
    <t>Owl City</t>
  </si>
  <si>
    <t>Synthpop</t>
  </si>
  <si>
    <t>First Day Of My Life</t>
  </si>
  <si>
    <t>Bright Eyes</t>
  </si>
  <si>
    <t>Five Hundred Miles</t>
  </si>
  <si>
    <t>Peter, Paul, &amp; Mary</t>
  </si>
  <si>
    <t>Fix You</t>
  </si>
  <si>
    <t>Flightless Bird, American Mouth</t>
  </si>
  <si>
    <t>Iron and Wine</t>
  </si>
  <si>
    <t>Fly Me To The Moon</t>
  </si>
  <si>
    <t>Frank Sinatra</t>
  </si>
  <si>
    <t>Bart Howard</t>
  </si>
  <si>
    <t>Traditional</t>
  </si>
  <si>
    <t>Forever</t>
  </si>
  <si>
    <t>Free Falling</t>
  </si>
  <si>
    <t>Tom Petty</t>
  </si>
  <si>
    <t>Classic</t>
  </si>
  <si>
    <t>Genie In A Bottle</t>
  </si>
  <si>
    <t>Christina Aguilera</t>
  </si>
  <si>
    <t>Dance</t>
  </si>
  <si>
    <t>Daft Punk</t>
  </si>
  <si>
    <t>Give A Little More</t>
  </si>
  <si>
    <t>Maroon 5</t>
  </si>
  <si>
    <t>Good Riddance (Time Of Your Life)</t>
  </si>
  <si>
    <t>Green Day</t>
  </si>
  <si>
    <t>Acoustic / Alternative</t>
  </si>
  <si>
    <t>Goodnight, Goodbye</t>
  </si>
  <si>
    <t>Got You Under My Skin</t>
  </si>
  <si>
    <t>Grayscale</t>
  </si>
  <si>
    <t>Skye Zentz</t>
  </si>
  <si>
    <t>Grenade</t>
  </si>
  <si>
    <t>Guitar Man</t>
  </si>
  <si>
    <t>Hallelujah</t>
  </si>
  <si>
    <t>Jeff Buckley</t>
  </si>
  <si>
    <t>Leonard Cohen</t>
  </si>
  <si>
    <t>Folk / Gospel</t>
  </si>
  <si>
    <t>Happy</t>
  </si>
  <si>
    <t>Pharell Williams</t>
  </si>
  <si>
    <t>Have You Ever Seen The Rain</t>
  </si>
  <si>
    <t>CCR</t>
  </si>
  <si>
    <t>Roots</t>
  </si>
  <si>
    <t>Heart Of Gold</t>
  </si>
  <si>
    <t>Neil Young</t>
  </si>
  <si>
    <t>Hello</t>
  </si>
  <si>
    <t>Adele</t>
  </si>
  <si>
    <t>Lionel Richie</t>
  </si>
  <si>
    <t>Here Without You</t>
  </si>
  <si>
    <t>3 Doors Down</t>
  </si>
  <si>
    <t>Hey Jude</t>
  </si>
  <si>
    <t>Hey There Delilah</t>
  </si>
  <si>
    <t>Plain White T's</t>
  </si>
  <si>
    <t>Acoustic</t>
  </si>
  <si>
    <t>Hey, Soul Sister</t>
  </si>
  <si>
    <t>Train</t>
  </si>
  <si>
    <t>Folk / Pop</t>
  </si>
  <si>
    <t>Easy Listening</t>
  </si>
  <si>
    <t>Hotel California</t>
  </si>
  <si>
    <t>Eagles</t>
  </si>
  <si>
    <t>Hymn For The Weekend</t>
  </si>
  <si>
    <t>I Saw Her Standing There</t>
  </si>
  <si>
    <t>I Will Follow You Into The Dark</t>
  </si>
  <si>
    <t>Acoustic / Indie</t>
  </si>
  <si>
    <t>I Will Survive</t>
  </si>
  <si>
    <t>I'd Love To Change The World</t>
  </si>
  <si>
    <t>Ten Years After</t>
  </si>
  <si>
    <t>70s</t>
  </si>
  <si>
    <t>I'll Be There For You</t>
  </si>
  <si>
    <t>Rembrandts</t>
  </si>
  <si>
    <t>Alternative / Pop</t>
  </si>
  <si>
    <t>I'm A Believer</t>
  </si>
  <si>
    <t>Monkees</t>
  </si>
  <si>
    <t>60s</t>
  </si>
  <si>
    <t>I'm Yours</t>
  </si>
  <si>
    <t>Folk / Reggae</t>
  </si>
  <si>
    <t>If</t>
  </si>
  <si>
    <t>If I Had A Hammer</t>
  </si>
  <si>
    <t>Seeger / Hayes</t>
  </si>
  <si>
    <t>Soft</t>
  </si>
  <si>
    <t>Jar Of Hearts</t>
  </si>
  <si>
    <t>Jolene</t>
  </si>
  <si>
    <t>Dolly Parton</t>
  </si>
  <si>
    <t>Just Give Me A Reason</t>
  </si>
  <si>
    <t>Pink (ft. Nate Ruess)</t>
  </si>
  <si>
    <t>Just The Two Of Us</t>
  </si>
  <si>
    <t>Bill Withers</t>
  </si>
  <si>
    <t>Killing Me Softly</t>
  </si>
  <si>
    <t>Lori Lieberman</t>
  </si>
  <si>
    <t>Kiss Me</t>
  </si>
  <si>
    <t>Sixpence None The Richer</t>
  </si>
  <si>
    <t>La Vie En Rose</t>
  </si>
  <si>
    <t>Louis Armstrong</t>
  </si>
  <si>
    <t>Edith Piaf</t>
  </si>
  <si>
    <t>Layla</t>
  </si>
  <si>
    <t>Blues / Hard</t>
  </si>
  <si>
    <t>Leaving On A Jet Plane</t>
  </si>
  <si>
    <t>Lemon Tree</t>
  </si>
  <si>
    <t>Fool's Garden</t>
  </si>
  <si>
    <t>Let Her Go</t>
  </si>
  <si>
    <t>Passenger</t>
  </si>
  <si>
    <t>Folk / Indie</t>
  </si>
  <si>
    <t>Like I'm Gonna Lose You</t>
  </si>
  <si>
    <t>Lonely Stranger</t>
  </si>
  <si>
    <t>Long Goodbyes</t>
  </si>
  <si>
    <t>Kurt Hunter</t>
  </si>
  <si>
    <t>Contemporary</t>
  </si>
  <si>
    <t>Long Train Running</t>
  </si>
  <si>
    <t>Doobie Brothers</t>
  </si>
  <si>
    <t>Losing My Religion</t>
  </si>
  <si>
    <t>REM</t>
  </si>
  <si>
    <t>Love Yourself</t>
  </si>
  <si>
    <t>Justin Bieber</t>
  </si>
  <si>
    <t>Lucky</t>
  </si>
  <si>
    <t>Acoustic / Pop</t>
  </si>
  <si>
    <t>Lucky Lips</t>
  </si>
  <si>
    <t>Cliff Richard</t>
  </si>
  <si>
    <t>Ruth Brown</t>
  </si>
  <si>
    <t>Make You Feel My Love</t>
  </si>
  <si>
    <t>Mamma Mia</t>
  </si>
  <si>
    <t>Mary Jane's Last Dance</t>
  </si>
  <si>
    <t>Mi Chico Latino</t>
  </si>
  <si>
    <t>Geri Halliwell</t>
  </si>
  <si>
    <t xml:space="preserve"> </t>
  </si>
  <si>
    <t>Michelle</t>
  </si>
  <si>
    <t>Moon River</t>
  </si>
  <si>
    <t>Audrey Hepburn</t>
  </si>
  <si>
    <t>More Than A Friend</t>
  </si>
  <si>
    <t>MLTR</t>
  </si>
  <si>
    <t>More Than Words</t>
  </si>
  <si>
    <t>Extreme</t>
  </si>
  <si>
    <t>Mr Blue Sky</t>
  </si>
  <si>
    <t>Electric Light Orchestra</t>
  </si>
  <si>
    <t>My Love</t>
  </si>
  <si>
    <t>Westlife</t>
  </si>
  <si>
    <t>Nights In White Satin</t>
  </si>
  <si>
    <t>Moody Blues</t>
  </si>
  <si>
    <t>Norwegian Wood</t>
  </si>
  <si>
    <t>Numb</t>
  </si>
  <si>
    <t>Linkin Park</t>
  </si>
  <si>
    <t>Metal</t>
  </si>
  <si>
    <t>Objection</t>
  </si>
  <si>
    <t>Shakira</t>
  </si>
  <si>
    <t>Oh, Carol</t>
  </si>
  <si>
    <t>Neil Sedaka</t>
  </si>
  <si>
    <t>One Love</t>
  </si>
  <si>
    <t>Blue</t>
  </si>
  <si>
    <t>Open Book</t>
  </si>
  <si>
    <t>Mikey McCleary</t>
  </si>
  <si>
    <t>Paper Roses</t>
  </si>
  <si>
    <t>Anita Bryant</t>
  </si>
  <si>
    <t>Fred Spielman; Janice Torre</t>
  </si>
  <si>
    <t>Paradise</t>
  </si>
  <si>
    <t>Part-Time Lover</t>
  </si>
  <si>
    <t>Stevie Wonder</t>
  </si>
  <si>
    <t>Photograph</t>
  </si>
  <si>
    <t>Ed Sheeran</t>
  </si>
  <si>
    <t>Photographs and Memories</t>
  </si>
  <si>
    <t>Jim Croce</t>
  </si>
  <si>
    <t>Piano Man</t>
  </si>
  <si>
    <t>Billy Joel</t>
  </si>
  <si>
    <t>Poetry In Motion</t>
  </si>
  <si>
    <t>Johnny Tillotson</t>
  </si>
  <si>
    <t>Paul Kaufman; Mike Anthony</t>
  </si>
  <si>
    <t>Doo-wop</t>
  </si>
  <si>
    <t>Price Tag</t>
  </si>
  <si>
    <t>Jessie J</t>
  </si>
  <si>
    <t>Quando Quando Quando</t>
  </si>
  <si>
    <t>Engelbert Humperdinck</t>
  </si>
  <si>
    <t>Bossa nova</t>
  </si>
  <si>
    <t>Que Sera Sera</t>
  </si>
  <si>
    <t>Rhythm Of Love</t>
  </si>
  <si>
    <t>Indie / Pop</t>
  </si>
  <si>
    <t>Ring Of Fire</t>
  </si>
  <si>
    <t>Johnny Cash</t>
  </si>
  <si>
    <t>Anita Carter</t>
  </si>
  <si>
    <t>Rock 'n' Roll</t>
  </si>
  <si>
    <t>Led Zeppelin</t>
  </si>
  <si>
    <t>House</t>
  </si>
  <si>
    <t>F#m</t>
  </si>
  <si>
    <t>Rocket Man</t>
  </si>
  <si>
    <t>Elton John</t>
  </si>
  <si>
    <t>Rolling In The Deep</t>
  </si>
  <si>
    <t>Sad Movies (Make Me Cry)</t>
  </si>
  <si>
    <t>Sue Thompson</t>
  </si>
  <si>
    <t>Seven Nation Army</t>
  </si>
  <si>
    <t>White Stripes</t>
  </si>
  <si>
    <t>She Said</t>
  </si>
  <si>
    <t>Plan B</t>
  </si>
  <si>
    <t>She Will Be Loved</t>
  </si>
  <si>
    <t>Pop / Soft</t>
  </si>
  <si>
    <t>Skyfall</t>
  </si>
  <si>
    <t>Smooth Operator</t>
  </si>
  <si>
    <t>Sade</t>
  </si>
  <si>
    <t>Snow (Hey Oh)</t>
  </si>
  <si>
    <t>Someone Like You</t>
  </si>
  <si>
    <t>Spit On A Stranger</t>
  </si>
  <si>
    <t>Pavement</t>
  </si>
  <si>
    <t>Stairway To Heaven</t>
  </si>
  <si>
    <t>Hard rock</t>
  </si>
  <si>
    <t>Stand By Me</t>
  </si>
  <si>
    <t>Ben E. King</t>
  </si>
  <si>
    <t>Strength Of A Woman</t>
  </si>
  <si>
    <t>Shaggy</t>
  </si>
  <si>
    <t>Stuck In The Middle With You</t>
  </si>
  <si>
    <t>Stealer's Wheel</t>
  </si>
  <si>
    <t>Sugar (Honey, Honey)</t>
  </si>
  <si>
    <t>Archies</t>
  </si>
  <si>
    <t>Sultans Of Swing</t>
  </si>
  <si>
    <t>Dire Straits</t>
  </si>
  <si>
    <t>Superman</t>
  </si>
  <si>
    <t>Lazlo Bane</t>
  </si>
  <si>
    <t>Swallowed In The Sea</t>
  </si>
  <si>
    <t>Sway</t>
  </si>
  <si>
    <t>Pablo Beltran Ruiz</t>
  </si>
  <si>
    <t>Sweet Child Of Mine</t>
  </si>
  <si>
    <t>Guns n Roses</t>
  </si>
  <si>
    <t>Take Five</t>
  </si>
  <si>
    <t>Dave Brubeck</t>
  </si>
  <si>
    <t>Take Me To Church</t>
  </si>
  <si>
    <t>Hozier</t>
  </si>
  <si>
    <t>Tears in Heaven</t>
  </si>
  <si>
    <t>Ten Guitars</t>
  </si>
  <si>
    <t>The Animal Song</t>
  </si>
  <si>
    <t>Savage Garden</t>
  </si>
  <si>
    <t>The Boxer</t>
  </si>
  <si>
    <t>The Cave</t>
  </si>
  <si>
    <t>Mumford and Sons</t>
  </si>
  <si>
    <t>The Girl From Ipanema</t>
  </si>
  <si>
    <t>Getz / Gilberto</t>
  </si>
  <si>
    <t>The Joker</t>
  </si>
  <si>
    <t>Steve Miller Band</t>
  </si>
  <si>
    <t>The Lazy Song</t>
  </si>
  <si>
    <t>The Reason</t>
  </si>
  <si>
    <t>Hoobastank</t>
  </si>
  <si>
    <t>The Scientist</t>
  </si>
  <si>
    <t>The Sound Of Silence</t>
  </si>
  <si>
    <t>The Tide Is High</t>
  </si>
  <si>
    <t>Blondie</t>
  </si>
  <si>
    <t>The Times They Are A-Changin'</t>
  </si>
  <si>
    <t>The Way I Am</t>
  </si>
  <si>
    <t>Ingrid Michaelson</t>
  </si>
  <si>
    <t>The Way You Look Tonight</t>
  </si>
  <si>
    <t>The Way You Make Me Feel</t>
  </si>
  <si>
    <t>Michael Jackson</t>
  </si>
  <si>
    <t>There She Goes</t>
  </si>
  <si>
    <t>The La's</t>
  </si>
  <si>
    <t>Thinking Out Loud</t>
  </si>
  <si>
    <t>Soft Rock / Soul</t>
  </si>
  <si>
    <t>This Love</t>
  </si>
  <si>
    <t>Time After Time</t>
  </si>
  <si>
    <t>Eva Cassidy</t>
  </si>
  <si>
    <t>Cindy Lauper</t>
  </si>
  <si>
    <t>Time In A Bottle</t>
  </si>
  <si>
    <t>Titanium</t>
  </si>
  <si>
    <t>David Guetta</t>
  </si>
  <si>
    <t>To Be With You</t>
  </si>
  <si>
    <t>Mr Big</t>
  </si>
  <si>
    <t>Top Of The World</t>
  </si>
  <si>
    <t>Carpenters</t>
  </si>
  <si>
    <t>Umbrella</t>
  </si>
  <si>
    <t>Rihanna</t>
  </si>
  <si>
    <t>Under The Bridge</t>
  </si>
  <si>
    <t>Until</t>
  </si>
  <si>
    <t>Sting</t>
  </si>
  <si>
    <t>Unwell</t>
  </si>
  <si>
    <t>Matchbox 20</t>
  </si>
  <si>
    <t>Uptown Girl</t>
  </si>
  <si>
    <t>Vanilla Twilight</t>
  </si>
  <si>
    <t>Venus</t>
  </si>
  <si>
    <t>Shocking Blue</t>
  </si>
  <si>
    <t>Viva La Vida</t>
  </si>
  <si>
    <t>Baroque</t>
  </si>
  <si>
    <t>Wake Me Up</t>
  </si>
  <si>
    <t>Avicii</t>
  </si>
  <si>
    <t>Wake Me Up When September Ends</t>
  </si>
  <si>
    <t>Way Back Into Love</t>
  </si>
  <si>
    <t>Hugh Grant</t>
  </si>
  <si>
    <t>What a Wonderful World</t>
  </si>
  <si>
    <t>What's Up</t>
  </si>
  <si>
    <t>4 Non Blondes</t>
  </si>
  <si>
    <t>When You Were Young</t>
  </si>
  <si>
    <t>The Killers</t>
  </si>
  <si>
    <t>White Flag</t>
  </si>
  <si>
    <t>Dido</t>
  </si>
  <si>
    <t>Wicked Game</t>
  </si>
  <si>
    <t>Chris Isaak</t>
  </si>
  <si>
    <t>Wild World</t>
  </si>
  <si>
    <t>Cat Stevens</t>
  </si>
  <si>
    <t>Wisemen</t>
  </si>
  <si>
    <t>Wish You Were Here</t>
  </si>
  <si>
    <t>Pink Floyd</t>
  </si>
  <si>
    <t>Progressive</t>
  </si>
  <si>
    <t>Wonderful Tonight</t>
  </si>
  <si>
    <t>Wonderwall</t>
  </si>
  <si>
    <t>Yellow</t>
  </si>
  <si>
    <t>Yesterday</t>
  </si>
  <si>
    <t>You And Me</t>
  </si>
  <si>
    <t>Lifehouse</t>
  </si>
  <si>
    <t>Alternative / Pop / Soft</t>
  </si>
  <si>
    <t>You Belong To Me</t>
  </si>
  <si>
    <t>You're Beautiful</t>
  </si>
  <si>
    <t>You're Still The One</t>
  </si>
  <si>
    <t>Shania Twain</t>
  </si>
  <si>
    <t>You've Got To Hide Your Love Away</t>
  </si>
  <si>
    <t>Your Song</t>
  </si>
  <si>
    <t>Zombie</t>
  </si>
  <si>
    <t>Cranberries</t>
  </si>
  <si>
    <t>Work number</t>
  </si>
  <si>
    <t>Composer</t>
  </si>
  <si>
    <t>Length</t>
  </si>
  <si>
    <t>Cello Suite No. 1 Mvt. 3</t>
  </si>
  <si>
    <t>Bach, J. S.</t>
  </si>
  <si>
    <t>Cello Suite No. 3 Mvt. 3</t>
  </si>
  <si>
    <t>Goldberg Variations, Var. 1</t>
  </si>
  <si>
    <t>♪♪</t>
  </si>
  <si>
    <t>Goldberg Variations, Var. 5</t>
  </si>
  <si>
    <t>Invention 10</t>
  </si>
  <si>
    <t>Jesu Joy of Man’s Desiring</t>
  </si>
  <si>
    <t>Prelude for Piano No. 1</t>
  </si>
  <si>
    <t>Violin Partita 1 Mvt 3 - Double</t>
  </si>
  <si>
    <t>Violin Partita 2 Mvt 4 - Gigue</t>
  </si>
  <si>
    <t>no repeats</t>
  </si>
  <si>
    <t>Violin Partita 3 Mvt 6 - Gigue</t>
  </si>
  <si>
    <t>Arioso</t>
  </si>
  <si>
    <t>Piano Sonata 8 Mvt 2 - Adagio Cantabile</t>
  </si>
  <si>
    <t>Beethoven, L. v.</t>
  </si>
  <si>
    <t>Calace, Rafael</t>
  </si>
  <si>
    <t>Allemande</t>
  </si>
  <si>
    <t>Handel, G. F.</t>
  </si>
  <si>
    <t>Piano Sonata 16 “Facile”</t>
  </si>
  <si>
    <t>Mozart, W. A.</t>
  </si>
  <si>
    <t>Carnival of the Animals – The Swan</t>
  </si>
  <si>
    <t>Saint-Saens, Camille</t>
  </si>
  <si>
    <t>Gymnopedie for Piano No 1</t>
  </si>
  <si>
    <t>Satie, Erik</t>
  </si>
  <si>
    <t>Estudio No 6</t>
  </si>
  <si>
    <t>Sor, Fernando</t>
  </si>
  <si>
    <t>Cavatina</t>
  </si>
  <si>
    <t>Stanley Myers</t>
  </si>
  <si>
    <t>Recuerdos de la Alhambra</t>
  </si>
  <si>
    <t>Tarrega, Francisco</t>
  </si>
  <si>
    <t>Wrembel, Stephane</t>
  </si>
  <si>
    <t>Tico Tico No Fubá</t>
  </si>
  <si>
    <t>Zequinha de Abreu</t>
  </si>
  <si>
    <t>Cantabile</t>
  </si>
  <si>
    <t>Orchestral Suite 3 - Air</t>
  </si>
  <si>
    <t>Tom Petty &amp; The Heartbreakers</t>
  </si>
  <si>
    <t>I Wanna Hold Your Hand</t>
  </si>
  <si>
    <t>Under The Sea</t>
  </si>
  <si>
    <t>Disney</t>
  </si>
  <si>
    <t>Watermelon Sugar</t>
  </si>
  <si>
    <t>Harry Styles</t>
  </si>
  <si>
    <t>Blinding Lights</t>
  </si>
  <si>
    <t>Weeknd</t>
  </si>
  <si>
    <t>D#</t>
  </si>
  <si>
    <t>Feels Like Home</t>
  </si>
  <si>
    <t>Edwina Hayes</t>
  </si>
  <si>
    <t>Randy Newman</t>
  </si>
  <si>
    <t>Mr Brightside</t>
  </si>
  <si>
    <t>Pretty World</t>
  </si>
  <si>
    <t>Sergio Mendes</t>
  </si>
  <si>
    <t>Dear Future Husband</t>
  </si>
  <si>
    <t>Twist And Shout</t>
  </si>
  <si>
    <t>Calendar Girl</t>
  </si>
  <si>
    <t>Paolo Nutini</t>
  </si>
  <si>
    <t>New Shoes</t>
  </si>
  <si>
    <t>All About That Bass</t>
  </si>
  <si>
    <t>Never Going Back Again</t>
  </si>
  <si>
    <t>Fleetwood Mac</t>
  </si>
  <si>
    <t>Instant Crush</t>
  </si>
  <si>
    <t>Lost On You</t>
  </si>
  <si>
    <t>LP</t>
  </si>
  <si>
    <t>Superman ("Scrubs" theme)</t>
  </si>
  <si>
    <t>I'll Be There For You ("Friends" theme)</t>
  </si>
  <si>
    <t>Michael Learns To Rock</t>
  </si>
  <si>
    <t>Killers</t>
  </si>
  <si>
    <t>September</t>
  </si>
  <si>
    <t>Earth Wind And Fire</t>
  </si>
  <si>
    <t>It's the End of the World As We Know It</t>
  </si>
  <si>
    <t>Cheap Thrills</t>
  </si>
  <si>
    <t>Sia</t>
  </si>
  <si>
    <t>Genre</t>
  </si>
  <si>
    <t>Hey Soul Sister</t>
  </si>
  <si>
    <t>Sugar (Honey Honey)</t>
  </si>
  <si>
    <t>Goodnight Goodbye</t>
  </si>
  <si>
    <t>Die Die Die</t>
  </si>
  <si>
    <t>Flightless Bird American Mouth</t>
  </si>
  <si>
    <t>Oh Carol</t>
  </si>
  <si>
    <t>Peter Paul and Mary</t>
  </si>
  <si>
    <t>Catch and Release</t>
  </si>
  <si>
    <t>Tom Petty and The Heartbreakers</t>
  </si>
  <si>
    <t>Clocks</t>
  </si>
  <si>
    <t>BPM</t>
  </si>
  <si>
    <t>After Midnight</t>
  </si>
  <si>
    <t>J J Cale</t>
  </si>
  <si>
    <t>This Magic Moment</t>
  </si>
  <si>
    <t>The Drifters</t>
  </si>
  <si>
    <t>Brandy</t>
  </si>
  <si>
    <t>Looking Glass</t>
  </si>
  <si>
    <t>Invention 01</t>
  </si>
  <si>
    <t>Invention 04</t>
  </si>
  <si>
    <t>Minuet in G - Gm</t>
  </si>
  <si>
    <t>114-115</t>
  </si>
  <si>
    <t>Bach, J. S. (Petzold)</t>
  </si>
  <si>
    <t>Minuet in G</t>
  </si>
  <si>
    <t>Prelude in C No 1</t>
  </si>
  <si>
    <t>Prelude for Piano No. 3</t>
  </si>
  <si>
    <t>Prelude for Piano No. 5</t>
  </si>
  <si>
    <t>SOLO</t>
  </si>
  <si>
    <t>Sweet Dreams</t>
  </si>
  <si>
    <t>Eurhythmics</t>
  </si>
  <si>
    <t>Green Eyes</t>
  </si>
  <si>
    <t>She Bangs</t>
  </si>
  <si>
    <t>Ricky Martin</t>
  </si>
  <si>
    <t>Simply The Best</t>
  </si>
  <si>
    <t>Noah Reid</t>
  </si>
  <si>
    <t>Chiquitita</t>
  </si>
  <si>
    <t>Gimme Gimme Gimme</t>
  </si>
  <si>
    <t>I Have A Dream</t>
  </si>
  <si>
    <t>Money Money Money</t>
  </si>
  <si>
    <t>SOS</t>
  </si>
  <si>
    <t>Super Trouper</t>
  </si>
  <si>
    <t>Take A Chance On Me</t>
  </si>
  <si>
    <t>Thank You For The Music</t>
  </si>
  <si>
    <t>The Winner Takes It All</t>
  </si>
  <si>
    <t>Son of a Preacher Man</t>
  </si>
  <si>
    <t>Dusty Springfield</t>
  </si>
  <si>
    <t>In The Summertime</t>
  </si>
  <si>
    <t>Mungo Jerry</t>
  </si>
  <si>
    <t>Skiffle</t>
  </si>
  <si>
    <t>This Is The Life</t>
  </si>
  <si>
    <t>Amy MacDonald</t>
  </si>
  <si>
    <t>C#m</t>
  </si>
  <si>
    <t>Whenever Wherever</t>
  </si>
  <si>
    <t>Rockstar</t>
  </si>
  <si>
    <t>Nickelback</t>
  </si>
  <si>
    <t>Valerie</t>
  </si>
  <si>
    <t>The Zutons</t>
  </si>
  <si>
    <t>Amy Winehouse ft. Mark Ronson</t>
  </si>
  <si>
    <t>Lenka</t>
  </si>
  <si>
    <t>Royals</t>
  </si>
  <si>
    <t>Lorde</t>
  </si>
  <si>
    <t>Eye Of The Tiger</t>
  </si>
  <si>
    <t>Survivor</t>
  </si>
  <si>
    <t>Fifty Ways To Leave Your Lover</t>
  </si>
  <si>
    <t>Paul Simon</t>
  </si>
  <si>
    <t>La Isla Bonita</t>
  </si>
  <si>
    <t>Madonna</t>
  </si>
  <si>
    <t>Toxic</t>
  </si>
  <si>
    <t>I Won't Give Up</t>
  </si>
  <si>
    <t>For What It's Worth</t>
  </si>
  <si>
    <t>Buffalo Springfield</t>
  </si>
  <si>
    <t>Halo</t>
  </si>
  <si>
    <t>1973</t>
  </si>
  <si>
    <t>Copacabana</t>
  </si>
  <si>
    <t>Barry Manilow</t>
  </si>
  <si>
    <t>Til There Was You</t>
  </si>
  <si>
    <t>Movie</t>
  </si>
  <si>
    <t>Pretty Woman</t>
  </si>
  <si>
    <t>Roy Orbison</t>
  </si>
  <si>
    <t>Imagine Dragons</t>
  </si>
  <si>
    <t>Rasputin</t>
  </si>
  <si>
    <t>Boney M</t>
  </si>
  <si>
    <t>Maria Maria</t>
  </si>
  <si>
    <t>Santana</t>
  </si>
  <si>
    <t>Death Cab For Cutie</t>
  </si>
  <si>
    <t>Mayries</t>
  </si>
  <si>
    <t>Cyndi Lauper</t>
  </si>
  <si>
    <t>Girls Just Want To Have Fun</t>
  </si>
  <si>
    <t>A Little Less Conversation</t>
  </si>
  <si>
    <t>If I Ain't Got You</t>
  </si>
  <si>
    <t>Alicia Keys</t>
  </si>
  <si>
    <t>Perfect</t>
  </si>
  <si>
    <t>Love You Like A Love Song</t>
  </si>
  <si>
    <t>Selena Gomez</t>
  </si>
  <si>
    <t>Can't Smile Without You</t>
  </si>
  <si>
    <t>Johnny B Goode</t>
  </si>
  <si>
    <t>Chuck Berry</t>
  </si>
  <si>
    <t>Adventure of a Lifetime</t>
  </si>
  <si>
    <t>TOTO</t>
  </si>
  <si>
    <t>J.J. Cale</t>
  </si>
  <si>
    <t>All I Have to Do Is Dream</t>
  </si>
  <si>
    <t>The Everly Brothers</t>
  </si>
  <si>
    <t>Till Brönner</t>
  </si>
  <si>
    <t>Simon &amp; Garfunkel</t>
  </si>
  <si>
    <t>Beyoncé</t>
  </si>
  <si>
    <t>...Baby One More Time</t>
  </si>
  <si>
    <t>Beautiful Tango - Remastered</t>
  </si>
  <si>
    <t>Bésame Mucho</t>
  </si>
  <si>
    <t>Better When I'm Dancin'</t>
  </si>
  <si>
    <t>The Beatles</t>
  </si>
  <si>
    <t>The Weeknd</t>
  </si>
  <si>
    <t>Blowin' in the Wind</t>
  </si>
  <si>
    <t>Brandy (You're a Fine Girl)</t>
  </si>
  <si>
    <t>1967-09</t>
  </si>
  <si>
    <t>Can't Help Falling in Love</t>
  </si>
  <si>
    <t>Catch &amp; Release</t>
  </si>
  <si>
    <t>Copacabana (At the Copa)</t>
  </si>
  <si>
    <t>Count on Me</t>
  </si>
  <si>
    <t>Gnarls Barkley</t>
  </si>
  <si>
    <t>Dance with Me Tonight</t>
  </si>
  <si>
    <t>Dancing in the Moonlight</t>
  </si>
  <si>
    <t>The Avett Brothers</t>
  </si>
  <si>
    <t>Dream A Little Dream</t>
  </si>
  <si>
    <t>Escape (The Pina Colada Song)</t>
  </si>
  <si>
    <t>Every Little Thing She Does Is Magic - Live</t>
  </si>
  <si>
    <t>Michael Bublé</t>
  </si>
  <si>
    <t>Eye of the Tiger</t>
  </si>
  <si>
    <t>50 Ways to Leave Your Lover</t>
  </si>
  <si>
    <t>First Day of My Life</t>
  </si>
  <si>
    <t>500 Miles</t>
  </si>
  <si>
    <t>1965-12</t>
  </si>
  <si>
    <t>Free Fallin'</t>
  </si>
  <si>
    <t>Gimme! Gimme! Gimme! (A Man After Midnight)</t>
  </si>
  <si>
    <t>Girls Just Wanna Have Fun - Acoustic</t>
  </si>
  <si>
    <t>The Mayries</t>
  </si>
  <si>
    <t>Good Riddance (Time of Your Life)</t>
  </si>
  <si>
    <t>I've Got You Under My Skin</t>
  </si>
  <si>
    <t>Creedence Clearwater Revival</t>
  </si>
  <si>
    <t>Hymn for the Weekend</t>
  </si>
  <si>
    <t>I Saw Her Standing There - Remastered 2009</t>
  </si>
  <si>
    <t>I Want To Hold Your Hand - Remastered 2015</t>
  </si>
  <si>
    <t>I Will Follow You into the Dark</t>
  </si>
  <si>
    <t>If I Had a Hammer</t>
  </si>
  <si>
    <t>The Rembrandts</t>
  </si>
  <si>
    <t>I'll Have To Say I Love You In A Song</t>
  </si>
  <si>
    <t>I'm a Believer</t>
  </si>
  <si>
    <t>The Monkees</t>
  </si>
  <si>
    <t>In the Summertime</t>
  </si>
  <si>
    <t>Instant Crush (feat. Julian Casablancas)</t>
  </si>
  <si>
    <t>It's The End Of The World As We Know It (And I Feel Fine)</t>
  </si>
  <si>
    <t>R.E.M.</t>
  </si>
  <si>
    <t>Johnny B. Goode</t>
  </si>
  <si>
    <t>Just Give Me a Reason (feat. Nate Ruess)</t>
  </si>
  <si>
    <t>La vie en rose</t>
  </si>
  <si>
    <t>Leaving on a Jet Plane</t>
  </si>
  <si>
    <t>Fools Garden</t>
  </si>
  <si>
    <t>Like I'm Gonna Lose You (feat. John Legend)</t>
  </si>
  <si>
    <t>Long Train Runnin'</t>
  </si>
  <si>
    <t>The Doobie Brothers</t>
  </si>
  <si>
    <t>Lost on You</t>
  </si>
  <si>
    <t>Selena Gomez &amp; The Scene</t>
  </si>
  <si>
    <t>Cliff Richard &amp; The Shadows</t>
  </si>
  <si>
    <t>Maria Maria (feat. The Product G&amp;B)</t>
  </si>
  <si>
    <t>Tom Petty and the Heartbreakers</t>
  </si>
  <si>
    <t>Mi chico latino</t>
  </si>
  <si>
    <t>Michelle - Remastered 2009</t>
  </si>
  <si>
    <t>More Than a Friend - 2002 Remaster</t>
  </si>
  <si>
    <t>Mr. Blue Sky</t>
  </si>
  <si>
    <t>Mr. Brightside</t>
  </si>
  <si>
    <t>The Moody Blues</t>
  </si>
  <si>
    <t>Objection (Tango)</t>
  </si>
  <si>
    <t>Open Book (feat. Mauli Dave)</t>
  </si>
  <si>
    <t>Photographs And Memories</t>
  </si>
  <si>
    <t>Poetry in Motion</t>
  </si>
  <si>
    <t>Sergio Mendes &amp; Brasil '66</t>
  </si>
  <si>
    <t>Boney M.</t>
  </si>
  <si>
    <t>Ring of Fire</t>
  </si>
  <si>
    <t>Rock &amp; Roll</t>
  </si>
  <si>
    <t>Rolling in the Deep</t>
  </si>
  <si>
    <t>Sad Movies Make Me Cry</t>
  </si>
  <si>
    <t>The White Stripes</t>
  </si>
  <si>
    <t>She Bangs - English Edit</t>
  </si>
  <si>
    <t>Smooth (feat. Rob Thomas)</t>
  </si>
  <si>
    <t>Stealers Wheel</t>
  </si>
  <si>
    <t>The Archies</t>
  </si>
  <si>
    <t>Sultans of Swing</t>
  </si>
  <si>
    <t>Swallowed in the Sea</t>
  </si>
  <si>
    <t>Sweet Child O' Mine</t>
  </si>
  <si>
    <t>Guns N' Roses</t>
  </si>
  <si>
    <t>Take Me to Church</t>
  </si>
  <si>
    <t>Mumford &amp; Sons</t>
  </si>
  <si>
    <t>The Sound of Silence</t>
  </si>
  <si>
    <t>Thinking out Loud</t>
  </si>
  <si>
    <t>Amy Macdonald</t>
  </si>
  <si>
    <t>Till There Was You - Remastered 2009</t>
  </si>
  <si>
    <t>Time in a Bottle</t>
  </si>
  <si>
    <t>Mr. Big</t>
  </si>
  <si>
    <t>Under the Bridge</t>
  </si>
  <si>
    <t>Under the Sea</t>
  </si>
  <si>
    <t>Until...</t>
  </si>
  <si>
    <t>Valerie (feat. Amy Winehouse) - Version Revisited</t>
  </si>
  <si>
    <t>Wake Me up When September Ends</t>
  </si>
  <si>
    <t>What A Wonderful World</t>
  </si>
  <si>
    <t>What's Up?</t>
  </si>
  <si>
    <t>You've Got To Hide Your Love Away - Remastered 2009</t>
  </si>
  <si>
    <t>The Cranberries</t>
  </si>
  <si>
    <t>The Way</t>
  </si>
  <si>
    <t>Fastball</t>
  </si>
  <si>
    <t>Galway Girl</t>
  </si>
  <si>
    <t>The Show</t>
  </si>
  <si>
    <t>Penguins</t>
  </si>
  <si>
    <t>Release</t>
  </si>
  <si>
    <t>Energy</t>
  </si>
  <si>
    <t>Loud</t>
  </si>
  <si>
    <t>Valence</t>
  </si>
  <si>
    <t>Eight Days A Week - Remastered 2015</t>
  </si>
  <si>
    <t>Genie In a Bottle</t>
  </si>
  <si>
    <t>Norwegian Wood (This Bird Has Flown) - Remastered 2009</t>
  </si>
  <si>
    <t>Twist And Shout - Remastered 2009</t>
  </si>
  <si>
    <t>Great Balls of Fire</t>
  </si>
  <si>
    <t>Jerry Lee Lewis</t>
  </si>
  <si>
    <t>New Light</t>
  </si>
  <si>
    <t>Until I Found You</t>
  </si>
  <si>
    <t>Stephen Sanchez</t>
  </si>
  <si>
    <t>Heaven</t>
  </si>
  <si>
    <t>Sweet Sweet Smile</t>
  </si>
  <si>
    <t>Big Yellow Taxi</t>
  </si>
  <si>
    <t>Joni Mitchell</t>
  </si>
  <si>
    <t>Tags</t>
  </si>
  <si>
    <t>pop</t>
  </si>
  <si>
    <t>Verve</t>
  </si>
  <si>
    <t>Bitter Sweet Symphony</t>
  </si>
  <si>
    <t>The Verve</t>
  </si>
  <si>
    <t>Spotify ID</t>
  </si>
  <si>
    <t>Track Name</t>
  </si>
  <si>
    <t>Album Name</t>
  </si>
  <si>
    <t>Artist Name(s)</t>
  </si>
  <si>
    <t>Release Date</t>
  </si>
  <si>
    <t>Duration (ms)</t>
  </si>
  <si>
    <t>Popularity</t>
  </si>
  <si>
    <t>Added By</t>
  </si>
  <si>
    <t>Added At</t>
  </si>
  <si>
    <t>Genres</t>
  </si>
  <si>
    <t>Danceability</t>
  </si>
  <si>
    <t>Loudness</t>
  </si>
  <si>
    <t>Mode</t>
  </si>
  <si>
    <t>Speechiness</t>
  </si>
  <si>
    <t>Acousticness</t>
  </si>
  <si>
    <t>Instrumentalness</t>
  </si>
  <si>
    <t>Liveness</t>
  </si>
  <si>
    <t>Tempo</t>
  </si>
  <si>
    <t>Time Signature</t>
  </si>
  <si>
    <t>1BV0m40U0M4t1SLIsDnwZl</t>
  </si>
  <si>
    <t>All the Lost Souls</t>
  </si>
  <si>
    <t>2022-09-20T14:38:56Z</t>
  </si>
  <si>
    <t>47y8hRlWLEJ4VafE6LMjEZ</t>
  </si>
  <si>
    <t>The Essential Elvis Presley</t>
  </si>
  <si>
    <t>2022-10-01T17:44:33Z</t>
  </si>
  <si>
    <t>3AH12fVi34vJVqriMpM6Bo</t>
  </si>
  <si>
    <t>Pure Fiction</t>
  </si>
  <si>
    <t>3RIm56NRLSZYo1xgHlbPH4</t>
  </si>
  <si>
    <t>Johnny English - Original Motion Picture Soundtrack</t>
  </si>
  <si>
    <t>4w1lzcaoZ1IC2K5TwjalRP</t>
  </si>
  <si>
    <t>Be Not Nobody</t>
  </si>
  <si>
    <t>6lanRgr6wXibZr8KgzXxBl</t>
  </si>
  <si>
    <t>69uxyAqqPIsUyTO8txoP2M</t>
  </si>
  <si>
    <t>A Head Full of Dreams</t>
  </si>
  <si>
    <t>2374M0fQpWi3dLnB54qaLX</t>
  </si>
  <si>
    <t>Toto IV</t>
  </si>
  <si>
    <t>1PC5GV3OaoXx5em8ttQOMI</t>
  </si>
  <si>
    <t>Naturally</t>
  </si>
  <si>
    <t>5jE48hhRu8E6zBDPRSkEq7</t>
  </si>
  <si>
    <t>Title (Deluxe)</t>
  </si>
  <si>
    <t>0ElmwRAsaxaUZXnMbaSllH</t>
  </si>
  <si>
    <t>Wonderland</t>
  </si>
  <si>
    <t>7dblNGnRXEBrVJunazs2U5</t>
  </si>
  <si>
    <t>The Very Best of The Everly Brothers</t>
  </si>
  <si>
    <t>3cfOd4CMv2snFaKAnMdnvK</t>
  </si>
  <si>
    <t>Astro Lounge</t>
  </si>
  <si>
    <t>11y8GSP2ASv8S9n0FiiDva</t>
  </si>
  <si>
    <t>Juice</t>
  </si>
  <si>
    <t>7CKbqqrs0AS1si1ZgaQdcj</t>
  </si>
  <si>
    <t>4J0DbyODwZJcmIAiTSJfMF</t>
  </si>
  <si>
    <t>Back Home Again</t>
  </si>
  <si>
    <t>51FAWuc1iPdM06S65Plx11</t>
  </si>
  <si>
    <t>That Summer</t>
  </si>
  <si>
    <t>2022-09-23T09:11:25Z</t>
  </si>
  <si>
    <t>lovestrong.</t>
  </si>
  <si>
    <t>2022-09-20T14:38:57Z</t>
  </si>
  <si>
    <t>1j9HwUMSkRUeVFRWlHcFsy</t>
  </si>
  <si>
    <t>I AM...SASHA FIERCE</t>
  </si>
  <si>
    <t>3MjUtNVVq3C8Fn0MP3zhXa</t>
  </si>
  <si>
    <t>...Baby One More Time (Digital Deluxe Version)</t>
  </si>
  <si>
    <t>5AmekBD8x9RIu9MMX81aYz</t>
  </si>
  <si>
    <t>Handmade (Remastered)</t>
  </si>
  <si>
    <t>2022-09-23T09:12:53Z</t>
  </si>
  <si>
    <t>5WHnE8MsLFHqSUwecrs7WO</t>
  </si>
  <si>
    <t>0BMyRHOFOvHjAEzeNfQIeN</t>
  </si>
  <si>
    <t>The Peanuts Movie - Original Motion Picture Soundtrack</t>
  </si>
  <si>
    <t>1wfzOH54LylpiG8hAOjKcS</t>
  </si>
  <si>
    <t>100 Greatest Summer Songs</t>
  </si>
  <si>
    <t>2023-02-12T10:29:03Z</t>
  </si>
  <si>
    <t>08T5wMbEnPN8ghT8o24KY6</t>
  </si>
  <si>
    <t>57iDDD9N9tTWe75x6qhStw</t>
  </si>
  <si>
    <t>Urban Hymns (Remastered 2016)</t>
  </si>
  <si>
    <t>2023-02-15T17:10:29Z</t>
  </si>
  <si>
    <t>0VjIjW4GlUZAMYd2vXMi3b</t>
  </si>
  <si>
    <t>After Hours</t>
  </si>
  <si>
    <t>62Yu8QL1g9pdbvN4XL9Rah</t>
  </si>
  <si>
    <t>In the Wind</t>
  </si>
  <si>
    <t>2BY7ALEWdloFHgQZG6VMLA</t>
  </si>
  <si>
    <t>6MTrtNdft6F4t64fEzhNNA</t>
  </si>
  <si>
    <t>Obrigado Brazil (Remastered)</t>
  </si>
  <si>
    <t>1uzWOoJdADfstQuFtQFTUn</t>
  </si>
  <si>
    <t>Home</t>
  </si>
  <si>
    <t>3yrSvpt2l1xhsV9Em88Pul</t>
  </si>
  <si>
    <t>Blowin' Your Mind!</t>
  </si>
  <si>
    <t>2ixsaeFioXJmMgkkbd4uj1</t>
  </si>
  <si>
    <t>Wanted on Voyage (Expanded Edition)</t>
  </si>
  <si>
    <t>7rrmHHc1kY9vkIZnXrcH7T</t>
  </si>
  <si>
    <t>We Sing. We Dance. We Steal Things.</t>
  </si>
  <si>
    <t>6oRHRkQigTzJ3KwpO3XOV6</t>
  </si>
  <si>
    <t>7Gpx2fNJiilvrf9Ss8qbit</t>
  </si>
  <si>
    <t>Rock with Sedaka (Expanded Edition)</t>
  </si>
  <si>
    <t>48UPSzbZjgc449aqz8bxox</t>
  </si>
  <si>
    <t>Californication (Deluxe Edition)</t>
  </si>
  <si>
    <t>44AyOl4qVkzS48vBsbNXaC</t>
  </si>
  <si>
    <t>Blue Hawaii</t>
  </si>
  <si>
    <t>7qUTZEf6bgiApJEXpMAH5y</t>
  </si>
  <si>
    <t>Even Now</t>
  </si>
  <si>
    <t>2022-10-13T06:27:22Z</t>
  </si>
  <si>
    <t>4jDmJ51x1o9NZB5Nxxc7gY</t>
  </si>
  <si>
    <t>Ladies And Gentlemen... The Best Of George Michael</t>
  </si>
  <si>
    <t>1zVBU0PAj7ZUVmVfG2pgQG</t>
  </si>
  <si>
    <t>29MwtMspIroR2wFYEJ7ps0</t>
  </si>
  <si>
    <t>7qvxFz3JodM0A7xEM7k3YD</t>
  </si>
  <si>
    <t>Witness (Deluxe)</t>
  </si>
  <si>
    <t>3S4px9f4lceWdKf0gWciFu</t>
  </si>
  <si>
    <t>This Is Acting (Deluxe Version)</t>
  </si>
  <si>
    <t>762B4bOcXF7I2Y8UlKTyTy</t>
  </si>
  <si>
    <t>Voulez-Vous</t>
  </si>
  <si>
    <t>0BCPKOYdS2jbQ8iyB56Zns</t>
  </si>
  <si>
    <t>A Rush of Blood to the Head</t>
  </si>
  <si>
    <t>1A5V1sxyCLpKJezp75tUXn</t>
  </si>
  <si>
    <t>20th Century Masters: The Millennium Collection: Best Of Semisonic</t>
  </si>
  <si>
    <t>1sdz3nsrkX4Yo42KLPrmYV</t>
  </si>
  <si>
    <t>On A Day Like Today</t>
  </si>
  <si>
    <t>3hWOGUIOcqKDoVpFBLp9Qc</t>
  </si>
  <si>
    <t>The Greatest Songs Of The Seventies</t>
  </si>
  <si>
    <t>2022-09-23T08:18:23Z</t>
  </si>
  <si>
    <t>7l1qvxWjxcKpB9PCtBuTbU</t>
  </si>
  <si>
    <t>Doo-Wops &amp; Hooligans</t>
  </si>
  <si>
    <t>1YYhDizHx7PnDhAhko6cDS</t>
  </si>
  <si>
    <t>2N5zMZX7YeL1tico8oQxa9</t>
  </si>
  <si>
    <t>St. Elsewhere</t>
  </si>
  <si>
    <t>2NpKgRCZfFb8fVmvk16iMx</t>
  </si>
  <si>
    <t>The Game</t>
  </si>
  <si>
    <t>1FSWSs9CL01RCYxXtm08Rf</t>
  </si>
  <si>
    <t>In Case You Didn't Know</t>
  </si>
  <si>
    <t>3Fzlg5r1IjhLk2qRw667od</t>
  </si>
  <si>
    <t>Onka's Big Moka</t>
  </si>
  <si>
    <t>0GjEhVFGZW8afUYGChu3Rr</t>
  </si>
  <si>
    <t>Arrival</t>
  </si>
  <si>
    <t>5FPnjikbwlDMULCCCa6ZCJ</t>
  </si>
  <si>
    <t>Heavier Things</t>
  </si>
  <si>
    <t>3cU2wBxuV6nFiuf6PJZNlC</t>
  </si>
  <si>
    <t>2022-09-20T14:38:58Z</t>
  </si>
  <si>
    <t>2HK5MzOuCmkJQlJYGCQpUU</t>
  </si>
  <si>
    <t>Emotionalism (Bonus Track Version)</t>
  </si>
  <si>
    <t>2HPB3px8MJZRMfu1L65Z41</t>
  </si>
  <si>
    <t>7Jpclr7tZ6aQXjoKzWXUJV</t>
  </si>
  <si>
    <t>We Must Believe In Magic</t>
  </si>
  <si>
    <t>1zNXF2svmdlNxfS5XeNUgr</t>
  </si>
  <si>
    <t>Come Away With Me (Super Deluxe Edition)</t>
  </si>
  <si>
    <t>Greatest Hits</t>
  </si>
  <si>
    <t>7ppPZa3TRUSGKaks9wH7VT</t>
  </si>
  <si>
    <t>(What's The Story) Morning Glory?</t>
  </si>
  <si>
    <t>43DHLzDkncpby82Po5jlOZ</t>
  </si>
  <si>
    <t>5Y5mqKOWd1wzqSqBeYaeO9</t>
  </si>
  <si>
    <t>Why Should The Fire Die?</t>
  </si>
  <si>
    <t>5vVLUqs9ogEGnH44Lh8Tuc</t>
  </si>
  <si>
    <t>Introducing</t>
  </si>
  <si>
    <t>2022-09-20T14:49:38Z</t>
  </si>
  <si>
    <t>7nnWIPM5hwE3DaUBkvOIpy</t>
  </si>
  <si>
    <t>Make Yourself</t>
  </si>
  <si>
    <t>6zeE5tKyr8Nu882DQhhSQI</t>
  </si>
  <si>
    <t>Point Of Know Return (Expanded Edition)</t>
  </si>
  <si>
    <t>54JpZ7kVvW7VsMFj8FqY95</t>
  </si>
  <si>
    <t>Stubbs The Zombie: The Soundtrack</t>
  </si>
  <si>
    <t>5ylLypaOksxWd75YrGtx2N</t>
  </si>
  <si>
    <t>1 (Remastered)</t>
  </si>
  <si>
    <t>2022-11-30T04:08:59Z</t>
  </si>
  <si>
    <t>5IMtdHjJ1OtkxbGe4zfUxQ</t>
  </si>
  <si>
    <t>Partners In Crime</t>
  </si>
  <si>
    <t>13bJq2QpoHZEUrNWfHgOUu</t>
  </si>
  <si>
    <t>Almost Solo in NYC (Live)</t>
  </si>
  <si>
    <t>4T6HLdP6OcAtqC6tGnQelG</t>
  </si>
  <si>
    <t>Call Me Irresponsible</t>
  </si>
  <si>
    <t>52VIdyKqp1pJRSyUQaxKUA</t>
  </si>
  <si>
    <t>Baby I'm-a Want You</t>
  </si>
  <si>
    <t>2KH16WveTQWT6KOG9Rg6e2</t>
  </si>
  <si>
    <t>Rocky IV</t>
  </si>
  <si>
    <t>59eAcAyhYSLi5GKFrgHJzG</t>
  </si>
  <si>
    <t>0YOOXnCJihgyluizqhAcrz</t>
  </si>
  <si>
    <t>Inside Llewyn Davis: Original Soundtrack Recording</t>
  </si>
  <si>
    <t>2022-09-23T09:19:55Z</t>
  </si>
  <si>
    <t>111i0gGDZQ3NbXdY2dbpet</t>
  </si>
  <si>
    <t>Pour Me a Drink</t>
  </si>
  <si>
    <t>6Qb7gtV6Q4MnUjSbkFcopl</t>
  </si>
  <si>
    <t>Still Crazy After All These Years</t>
  </si>
  <si>
    <t>2022-09-20T14:51:10Z</t>
  </si>
  <si>
    <t>0eBryM7ePQH3Klt3jz8xZd</t>
  </si>
  <si>
    <t>6oMZhY0f1ReI6AJDDYfuSb</t>
  </si>
  <si>
    <t>7LVHVU3tWfcxj5aiPFEW4Q</t>
  </si>
  <si>
    <t>X&amp;Y</t>
  </si>
  <si>
    <t>1PVTvvxpSkyJWemW1CwVVk</t>
  </si>
  <si>
    <t>A Man And His Music</t>
  </si>
  <si>
    <t>1qRA5BS78u3gME0loMl9AA</t>
  </si>
  <si>
    <t>2WSTUNo3ZtQLeOkp362tcB</t>
  </si>
  <si>
    <t>43R7hb5PbcyDuGGVhztAXL</t>
  </si>
  <si>
    <t>The Best Of Everything - The Definitive Career Spanning Hits Collection 1976-2016</t>
  </si>
  <si>
    <t>2022-09-23T06:43:58Z</t>
  </si>
  <si>
    <t>0afhq8XCExXpqazXczTSve</t>
  </si>
  <si>
    <t>÷ (Deluxe)</t>
  </si>
  <si>
    <t>2022-11-29T09:08:24Z</t>
  </si>
  <si>
    <t>11mwFrKvLXCbcVGNxffGyP</t>
  </si>
  <si>
    <t>Christina Aguilera (Expanded Edition)</t>
  </si>
  <si>
    <t>2022-11-30T04:12:17Z</t>
  </si>
  <si>
    <t>3vkQ5DAB1qQMYO4Mr9zJN6</t>
  </si>
  <si>
    <t>7rohDMzsbmSmol7sIZs0Px</t>
  </si>
  <si>
    <t>Girls Just Wanna Have Fun</t>
  </si>
  <si>
    <t>2022-09-23T06:39:09Z</t>
  </si>
  <si>
    <t>2TRuBFYZYw0Q7qIVBhqR1T</t>
  </si>
  <si>
    <t>6ORqU0bHbVCRjXm9AjyHyZ</t>
  </si>
  <si>
    <t>Nimrod</t>
  </si>
  <si>
    <t>0zzSZkEfZiZCAldZj8x128</t>
  </si>
  <si>
    <t>2022-09-20T14:38:59Z</t>
  </si>
  <si>
    <t>74jklVKHYTmNMp0baGm6FB</t>
  </si>
  <si>
    <t>Ultimate Sinatra</t>
  </si>
  <si>
    <t>6HhRhNhizv18kTfHED0GNA</t>
  </si>
  <si>
    <t>Bird Heart</t>
  </si>
  <si>
    <t>2022-11-29T10:29:38Z</t>
  </si>
  <si>
    <t>7xe3EQCvXnx6Q0zs41Y65n</t>
  </si>
  <si>
    <t>The Essential Jerry Lee Lewis [The Sun Sessions]</t>
  </si>
  <si>
    <t>2022-12-01T02:07:56Z</t>
  </si>
  <si>
    <t>3ou9rSNUQnE7XYmJkUUIOc</t>
  </si>
  <si>
    <t>0gZXockVcE7rEhSf4mcGLO</t>
  </si>
  <si>
    <t>4JehYebiI9JE8sR8MisGVb</t>
  </si>
  <si>
    <t>5DnT9a5IM3eMjKgXTWVJvi</t>
  </si>
  <si>
    <t>Pendulum</t>
  </si>
  <si>
    <t>7Ewz6bJ97vUqk5HdkvguFQ</t>
  </si>
  <si>
    <t>Reckless (30th Anniversary / Deluxe Edition)</t>
  </si>
  <si>
    <t>2023-01-20T12:29:28Z</t>
  </si>
  <si>
    <t>0mHyWYXmmCB9iQyK18m3FQ</t>
  </si>
  <si>
    <t>Can't Slow Down</t>
  </si>
  <si>
    <t>3NLrRZoMF0Lx6zTlYqeIo4</t>
  </si>
  <si>
    <t>Away From The Sun</t>
  </si>
  <si>
    <t>1eT2CjXwFXNx6oY5ydvzKU</t>
  </si>
  <si>
    <t>Love</t>
  </si>
  <si>
    <t>4HlFJV71xXKIGcU3kRyttv</t>
  </si>
  <si>
    <t>4RCWB3V8V0dignt99LZ8vH</t>
  </si>
  <si>
    <t>All That We Needed</t>
  </si>
  <si>
    <t>3RiPr603aXAoi4GHyXx0uy</t>
  </si>
  <si>
    <t>1PtJclc46wTk367PlsU6Uj</t>
  </si>
  <si>
    <t>3KiexfmhxHvG5IgAElmTkd</t>
  </si>
  <si>
    <t>Please Please Me (Remastered)</t>
  </si>
  <si>
    <t>4pbG9SUmWIvsROVLF0zF9s</t>
  </si>
  <si>
    <t>2022-09-20T15:28:08Z</t>
  </si>
  <si>
    <t>3kZC0ZmFWrEHdUCmUqlvgZ</t>
  </si>
  <si>
    <t>Plans</t>
  </si>
  <si>
    <t>53QF56cjZA9RTuuMZDrSA6</t>
  </si>
  <si>
    <t>Love Is a Four Letter Word (Deluxe Edition)</t>
  </si>
  <si>
    <t>40W8Mm9t3ZO1iNQlls35lL</t>
  </si>
  <si>
    <t>Manna</t>
  </si>
  <si>
    <t>3XVBdLihbNbxUwZosxcGuJ</t>
  </si>
  <si>
    <t>The Diary Of Alicia Keys</t>
  </si>
  <si>
    <t>2022-10-01T17:44:20Z</t>
  </si>
  <si>
    <t>4AaCr2lbXtxJQRpSpObAqe</t>
  </si>
  <si>
    <t>Around the Campfire</t>
  </si>
  <si>
    <t>5FC0XyIOkvY1h5bo9t44TL</t>
  </si>
  <si>
    <t>Friends - I'll Be There For You</t>
  </si>
  <si>
    <t>4t8tx6o7oM6Ax66ZUU361y</t>
  </si>
  <si>
    <t>I Got a Name</t>
  </si>
  <si>
    <t>1CSLeVCXmetBh8IkTPMFdL</t>
  </si>
  <si>
    <t>The Best of The Monkees</t>
  </si>
  <si>
    <t>1EzrEOXmMH3G43AXT1y7pA</t>
  </si>
  <si>
    <t>3RNyGLgSvmVRZ7xKUp8Wgd</t>
  </si>
  <si>
    <t>2cGxRwrMyEAp8dEbuZaVv6</t>
  </si>
  <si>
    <t>Random Access Memories</t>
  </si>
  <si>
    <t>2oSpQ7QtIKTNFfA08Cy0ku</t>
  </si>
  <si>
    <t>Document (R.E.M. No. 5)</t>
  </si>
  <si>
    <t>0HZhYMZOcUzZKSFwPOti6m</t>
  </si>
  <si>
    <t>2QfiRTz5Yc8DdShCxG1tB2</t>
  </si>
  <si>
    <t>Berry Is On Top</t>
  </si>
  <si>
    <t>2022-10-13T09:03:01Z</t>
  </si>
  <si>
    <t>2SpEHTbUuebeLkgs9QB7Ue</t>
  </si>
  <si>
    <t>1mKXFLRA179hdOWQBwUk9e</t>
  </si>
  <si>
    <t>The Truth About Love</t>
  </si>
  <si>
    <t>6GHtyusLtbFDJuFZ8j9Yju</t>
  </si>
  <si>
    <t>A Thousand Dreams</t>
  </si>
  <si>
    <t>754kgU5rWscRTfvlsuEwFp</t>
  </si>
  <si>
    <t>6r8k1vznHrzlEKYxL4dZEe</t>
  </si>
  <si>
    <t>1GJCQMFysvt2S9WXSBaWYP</t>
  </si>
  <si>
    <t>The Decca Singles 1949-1958</t>
  </si>
  <si>
    <t>0hS2EF1YErlHBS5c97iGxi</t>
  </si>
  <si>
    <t>Rhymes &amp; Reasons</t>
  </si>
  <si>
    <t>4fXGWiVhlOLdhwRDP6pIFG</t>
  </si>
  <si>
    <t>Dish Of The Day</t>
  </si>
  <si>
    <t>1KxwZYyzWNyZSRyErj2ojT</t>
  </si>
  <si>
    <t>All The Little Lights</t>
  </si>
  <si>
    <t>2YlZnw2ikdb837oKMKjBkW</t>
  </si>
  <si>
    <t>5nZax8mmBCb4UYnW6ibvTb</t>
  </si>
  <si>
    <t>Unplugged (Deluxe Edition)</t>
  </si>
  <si>
    <t>2022-10-12T15:56:43Z</t>
  </si>
  <si>
    <t>2BH2OuQBy2NSPf6rzfzold</t>
  </si>
  <si>
    <t>Up Too Late</t>
  </si>
  <si>
    <t>4nXkbcTj3nyww1cHkw5RAP</t>
  </si>
  <si>
    <t>The Captain and Me</t>
  </si>
  <si>
    <t>31AOj9sFz2gM0O3hMARRBx</t>
  </si>
  <si>
    <t>Out Of Time (25th Anniversary Edition)</t>
  </si>
  <si>
    <t>2LIh4uzqq9cXMPzzmcToHl</t>
  </si>
  <si>
    <t>0laYHRpNTS6i8FXdupHkJ4</t>
  </si>
  <si>
    <t>When The Sun Goes Down</t>
  </si>
  <si>
    <t>2022-10-13T06:20:45Z</t>
  </si>
  <si>
    <t>50kpGaPAhYJ3sGmk6vplg0</t>
  </si>
  <si>
    <t>Purpose (Deluxe)</t>
  </si>
  <si>
    <t>0IktbUcnAGrvD03AWnz3Q8</t>
  </si>
  <si>
    <t>4xHXqIwdjXRYJvwT8HNByt</t>
  </si>
  <si>
    <t>40 Golden Greats</t>
  </si>
  <si>
    <t>5FgPwJ7Nh2FVmIXviKl2VF</t>
  </si>
  <si>
    <t>2TxCwUlqaOH3TIyJqGgR91</t>
  </si>
  <si>
    <t>Abba</t>
  </si>
  <si>
    <t>567UAkWoLBqZ709s3Qcbze</t>
  </si>
  <si>
    <t>Supernatural (Legacy Edition)</t>
  </si>
  <si>
    <t>2022-09-20T15:33:09Z</t>
  </si>
  <si>
    <t>3dmqIB2Qxe2XZobw9gXxJ6</t>
  </si>
  <si>
    <t>2022-09-20T14:39:00Z</t>
  </si>
  <si>
    <t>3Qu88IYwuDpUQNi6UwJsDz</t>
  </si>
  <si>
    <t>Schizophonic</t>
  </si>
  <si>
    <t>5By7Pzgl6TMuVJG168VWzS</t>
  </si>
  <si>
    <t>3lKN03PDeBnXZS7sDukRBt</t>
  </si>
  <si>
    <t>3g815ZTHx784EBVvzpiHfv</t>
  </si>
  <si>
    <t>19 Love Ballads</t>
  </si>
  <si>
    <t>1gVgkQFOKa8Wc1HYsJtPdH</t>
  </si>
  <si>
    <t>Extreme II - Pornograffitti</t>
  </si>
  <si>
    <t>2RlgNHKcydI9sayD2Df2xp</t>
  </si>
  <si>
    <t>Out of the Blue</t>
  </si>
  <si>
    <t>003vvx7Niy0yvhvHt4a68B</t>
  </si>
  <si>
    <t>Hot Fuss</t>
  </si>
  <si>
    <t>5p0ietGkLNEqx1Z7ijkw5g</t>
  </si>
  <si>
    <t>Coast To Coast (Expanded Edition)</t>
  </si>
  <si>
    <t>Rumours (Super Deluxe)</t>
  </si>
  <si>
    <t>4T6FWA703h6H7zk1FoSARw</t>
  </si>
  <si>
    <t>Sob Rock</t>
  </si>
  <si>
    <t>2022-12-27T15:18:38Z</t>
  </si>
  <si>
    <t>265Anh9hGoozFigjUVLUeD</t>
  </si>
  <si>
    <t>These Streets</t>
  </si>
  <si>
    <t>5w1ingzqrsJka9nlnEFB64</t>
  </si>
  <si>
    <t>1H7gMYGykdtwZOV6s1N0by</t>
  </si>
  <si>
    <t>2022-11-30T04:10:30Z</t>
  </si>
  <si>
    <t>2nLtzopw4rPReszdYBJU6h</t>
  </si>
  <si>
    <t>Meteora</t>
  </si>
  <si>
    <t>36YNa8joLwu9yor2TkZbIY</t>
  </si>
  <si>
    <t>Laundry Service</t>
  </si>
  <si>
    <t>2W5acFzXf5FrktecuD30Or</t>
  </si>
  <si>
    <t>0B0kgEDcAmf4MDEEYStnpW</t>
  </si>
  <si>
    <t>TV Dinners</t>
  </si>
  <si>
    <t>You Don't Mess Around With Jim</t>
  </si>
  <si>
    <t>0CdsYCCygXgNYk7l1ULMht</t>
  </si>
  <si>
    <t>6nek1Nin9q48AVZcWs9e9D</t>
  </si>
  <si>
    <t>Mylo Xyloto</t>
  </si>
  <si>
    <t>0Dm43YLUlGdePpSbI1ct8h</t>
  </si>
  <si>
    <t>In Square Circle</t>
  </si>
  <si>
    <t>0tgVpDi06FyKpA1z0VMD4v</t>
  </si>
  <si>
    <t>2022-10-13T06:18:32Z</t>
  </si>
  <si>
    <t>25P9qtKtJUQXcWjM4zQfA5</t>
  </si>
  <si>
    <t>Photographs &amp; Memories: His Greatest Hits</t>
  </si>
  <si>
    <t>70C4NyhjD5OZUMzvWZ3njJ</t>
  </si>
  <si>
    <t>Piano Man (Legacy Edition)</t>
  </si>
  <si>
    <t>6c9Zgl3NolMeAPJnW779eM</t>
  </si>
  <si>
    <t>Greatest Hits - Original Recordings</t>
  </si>
  <si>
    <t>52HAHV1j93s5B8GoTNI7DJ</t>
  </si>
  <si>
    <t>The Essential Roy Orbison</t>
  </si>
  <si>
    <t>264Iu7TFoRzdFpGcmFc884</t>
  </si>
  <si>
    <t>Sergio Mendes &amp; Brasil ’66-86: Classics Volume 18</t>
  </si>
  <si>
    <t>5mvKuE9Lf9ARVXVXA32kK9</t>
  </si>
  <si>
    <t>Who You Are (Platinum Edition)</t>
  </si>
  <si>
    <t>03MOcbkkoNLjP0G91iODSB</t>
  </si>
  <si>
    <t>A Man Without Love</t>
  </si>
  <si>
    <t>4Ylqc711Eq763XbTAOABu3</t>
  </si>
  <si>
    <t>Doris Day - Her Greatest Songs</t>
  </si>
  <si>
    <t>2022-09-20T14:45:13Z</t>
  </si>
  <si>
    <t>5jkFvD4UJrmdoezzT1FRoP</t>
  </si>
  <si>
    <t>Nightflight to Venus</t>
  </si>
  <si>
    <t>6MDTpYxPFL0wtFd0pjfKws</t>
  </si>
  <si>
    <t>Wonders Of The Younger</t>
  </si>
  <si>
    <t>6YffUZJ2R06kyxyK6onezL</t>
  </si>
  <si>
    <t>Ring Of Fire: The Best Of Johnny Cash</t>
  </si>
  <si>
    <t>747oKsJuqrbYtvEDPp8xiW</t>
  </si>
  <si>
    <t>Rock'n Roll</t>
  </si>
  <si>
    <t>2022-09-20T14:39:01Z</t>
  </si>
  <si>
    <t>6n9yCXvLhnYMgJIiIcMu7D</t>
  </si>
  <si>
    <t>All the Right Reasons (Special Edition)</t>
  </si>
  <si>
    <t>1c8gk2PeTE04A1pIDH9YMk</t>
  </si>
  <si>
    <t>2dLLR6qlu5UJ5gk0dKz0h3</t>
  </si>
  <si>
    <t>Pure Heroine</t>
  </si>
  <si>
    <t>5PYEBQrRHWoMuRr5Ers9vR</t>
  </si>
  <si>
    <t>Essential Sue Thompson</t>
  </si>
  <si>
    <t>2grjqo0Frpf2okIBiifQKs</t>
  </si>
  <si>
    <t>3dPQuX8Gs42Y7b454ybpMR</t>
  </si>
  <si>
    <t>Elephant</t>
  </si>
  <si>
    <t>41vhG2EdqWXVeeuZTzO8aE</t>
  </si>
  <si>
    <t>Happiness Forever</t>
  </si>
  <si>
    <t>7sapKrjDij2fpDVj0GxP66</t>
  </si>
  <si>
    <t>Songs About Jane</t>
  </si>
  <si>
    <t>1KFuLRUmWf0irn0CLclT2X</t>
  </si>
  <si>
    <t>6VObnIkLVruX4UVyxWhlqm</t>
  </si>
  <si>
    <t>0n2SEXB2qoRQg171q7XqeW</t>
  </si>
  <si>
    <t>Supernatural (Remastered)</t>
  </si>
  <si>
    <t>2aibwv5hGXSgw7Yru8IYTO</t>
  </si>
  <si>
    <t>Stadium Arcadium</t>
  </si>
  <si>
    <t>1zwMYTA5nlNjZxYrvBB2pV</t>
  </si>
  <si>
    <t>7odHgoLFi3GQ90E9PeraI3</t>
  </si>
  <si>
    <t>Dusty In Memphis [Deluxe Edition]</t>
  </si>
  <si>
    <t>5pMmWfuL0FTGshYt7HVJ8P</t>
  </si>
  <si>
    <t>ABBA Gold</t>
  </si>
  <si>
    <t>6CnuCYYgFs8ejnSf9GxEbY</t>
  </si>
  <si>
    <t>This Side</t>
  </si>
  <si>
    <t>3SdTKo2uVsxFblQjpScoHy</t>
  </si>
  <si>
    <t>Don't Play That Song (Mono)</t>
  </si>
  <si>
    <t>3Rv2kFdLcwVdS47BLwo22O</t>
  </si>
  <si>
    <t>Lucky Day</t>
  </si>
  <si>
    <t>3Vby4nGmtbDo7HDJamOWkT</t>
  </si>
  <si>
    <t>3iSws76HjaU7k49EqJVTfF</t>
  </si>
  <si>
    <t>2022-09-21T07:57:38Z</t>
  </si>
  <si>
    <t>6cr6UDpkjEaMQ80OjWqEBQ</t>
  </si>
  <si>
    <t>0J2p4KYdr6Mg4ET6JPlbe1</t>
  </si>
  <si>
    <t>3ffJKEoVfbiSlDHztViu6O</t>
  </si>
  <si>
    <t>Scrubs</t>
  </si>
  <si>
    <t>2u2WL5N3KnQnykOZi3fxL6</t>
  </si>
  <si>
    <t>2ajUl8lBLAXOXNpG4NEPMz</t>
  </si>
  <si>
    <t>2022-09-21T07:51:41Z</t>
  </si>
  <si>
    <t>7snQQk1zcKl8gZ92AnueZW</t>
  </si>
  <si>
    <t>Appetite For Destruction</t>
  </si>
  <si>
    <t>4ykZMXKdWHgumz5XEOAh9N</t>
  </si>
  <si>
    <t>Passage</t>
  </si>
  <si>
    <t>2023-02-12T10:29:07Z</t>
  </si>
  <si>
    <t>1TfqLAPs4K3s2rJMoCokcS</t>
  </si>
  <si>
    <t>Sweet Dreams (Are Made Of This)</t>
  </si>
  <si>
    <t>2022-09-20T17:25:33Z</t>
  </si>
  <si>
    <t>5BckPAYcKEJuYs1eV1BHHe</t>
  </si>
  <si>
    <t>The Album</t>
  </si>
  <si>
    <t>5UbLKRX1qVROlwDFOooEvG</t>
  </si>
  <si>
    <t>Dave Brubeck's Greatest Hits</t>
  </si>
  <si>
    <t>1CS7Sd1u5tWkstBhpssyjP</t>
  </si>
  <si>
    <t>Hozier (Expanded Edition)</t>
  </si>
  <si>
    <t>7utRJ4BeYx85khzP3lKoBX</t>
  </si>
  <si>
    <t>Clapton Chronicles: The Best of Eric Clapton</t>
  </si>
  <si>
    <t>1xYkExG0VqJBMAJ047kd97</t>
  </si>
  <si>
    <t>Release Me</t>
  </si>
  <si>
    <t>5TuzQ44lPWTCKbfXbNIEXg</t>
  </si>
  <si>
    <t>Affirmation</t>
  </si>
  <si>
    <t>76TZCvJ8GitQ2FA1q5dKu0</t>
  </si>
  <si>
    <t>Bridge Over Troubled Water</t>
  </si>
  <si>
    <t>7IxVWmdabNVhfLBV3JD0nJ</t>
  </si>
  <si>
    <t>Sigh No More</t>
  </si>
  <si>
    <t>3898C4AbdbptwYet6547e5</t>
  </si>
  <si>
    <t>The Girl From Ipanema - The Bossa Nova Years</t>
  </si>
  <si>
    <t>1bp2IO61zbQrbWNmKKxg3f</t>
  </si>
  <si>
    <t>2022-09-20T14:39:02Z</t>
  </si>
  <si>
    <t>1ExfPZEiahqhLyajhybFeS</t>
  </si>
  <si>
    <t>77loZpT5Y5PRP1S451P9Yz</t>
  </si>
  <si>
    <t>The Reason (15th Anniversary Deluxe)</t>
  </si>
  <si>
    <t>75JFxkI2RXiU7L9VXzMkle</t>
  </si>
  <si>
    <t>1mHoqHeQClLBp5UO3TbUac</t>
  </si>
  <si>
    <t>Lenka (Expanded Edition)</t>
  </si>
  <si>
    <t>2022-11-29T09:09:28Z</t>
  </si>
  <si>
    <t>3YfS47QufnLDFA71FUsgCM</t>
  </si>
  <si>
    <t>The Singer</t>
  </si>
  <si>
    <t>1jLRap9S6KxWpzlxBqYh17</t>
  </si>
  <si>
    <t>Best Of Blondie</t>
  </si>
  <si>
    <t>52vA3CYKZqZVdQnzRrdZt6</t>
  </si>
  <si>
    <t>7IsEXPk6qqt30FfQv4SZMa</t>
  </si>
  <si>
    <t>All The Pain Money Can Buy</t>
  </si>
  <si>
    <t>2022-10-22T07:53:05Z</t>
  </si>
  <si>
    <t>43ddJFnP8m3PzNJXiHuiyJ</t>
  </si>
  <si>
    <t>Girls and Boys</t>
  </si>
  <si>
    <t>0elmUoU7eMPwZX1Mw1MnQo</t>
  </si>
  <si>
    <t>541jTq3SOEELKvcfA0jHI0</t>
  </si>
  <si>
    <t>3oEkrIfXfSh9zGnE7eBzSV</t>
  </si>
  <si>
    <t>43z6scIZU2QcEieMQFAJRG</t>
  </si>
  <si>
    <t>34gCuhDGsG4bRPIf9bb02f</t>
  </si>
  <si>
    <t>x (Deluxe Edition)</t>
  </si>
  <si>
    <t>3AI7ca5RpYLyqaVgU7K1AP</t>
  </si>
  <si>
    <t>6ECp64rv50XVz93WvxXMGF</t>
  </si>
  <si>
    <t>Songs About Jane: 10th Anniversary Edition</t>
  </si>
  <si>
    <t>0ESIjVxnDnCDaTPo6sStHm</t>
  </si>
  <si>
    <t>With The Beatles (Remastered)</t>
  </si>
  <si>
    <t>7ExSGiqt0W5xu3XoAwjnDm</t>
  </si>
  <si>
    <t>561F1zqRwGPCTMRsLsXVtL</t>
  </si>
  <si>
    <t>3bP47tw8MOgtrwdO1iahVl</t>
  </si>
  <si>
    <t>1Ehdm1PDlKrdfyBsjwEvd1</t>
  </si>
  <si>
    <t>A Song For You</t>
  </si>
  <si>
    <t>6I9VzXrHxO9rA9A5euc8Ak</t>
  </si>
  <si>
    <t>In The Zone</t>
  </si>
  <si>
    <t>5ZBeML7Lf3FMEVviTyvi8l</t>
  </si>
  <si>
    <t>2022-11-30T04:10:46Z</t>
  </si>
  <si>
    <t>3d9DChrdc6BOeFsbrZ3Is0</t>
  </si>
  <si>
    <t>Blood Sugar Sex Magik (Deluxe Edition)</t>
  </si>
  <si>
    <t>6oYkwjI1TKP9D0Y9II1GT7</t>
  </si>
  <si>
    <t>The Little Mermaid Special Edition</t>
  </si>
  <si>
    <t>0T5iIrXA4p5GsubkhuBIKV</t>
  </si>
  <si>
    <t>2022-12-27T15:19:31Z</t>
  </si>
  <si>
    <t>5zA8vzDGqPl2AzZkEYQGKh</t>
  </si>
  <si>
    <t>An Innocent Man</t>
  </si>
  <si>
    <t>6kopmMZiyLmw7h66uXcXR7</t>
  </si>
  <si>
    <t>Version</t>
  </si>
  <si>
    <t>0vCTQcxSGAgjHaiAsIANKn</t>
  </si>
  <si>
    <t>Ocean Eyes (Deluxe Version)</t>
  </si>
  <si>
    <t>0Z3xhSOhrawLV81YdiDiiJ</t>
  </si>
  <si>
    <t>At Home</t>
  </si>
  <si>
    <t>1mea3bSkSGXuIRvnydlB5b</t>
  </si>
  <si>
    <t>Viva La Vida or Death and All His Friends</t>
  </si>
  <si>
    <t>0nrRP2bk19rLc0orkWPQk2</t>
  </si>
  <si>
    <t>3ZffCQKLFLUvYM59XKLbVm</t>
  </si>
  <si>
    <t>American Idiot</t>
  </si>
  <si>
    <t>6UelLqGlWMcVH1E5c4H7lY</t>
  </si>
  <si>
    <t>Fine Line</t>
  </si>
  <si>
    <t>29U7stRjqHU6rMiS8BfaI9</t>
  </si>
  <si>
    <t>0jWgAnTrNZmOGmqgvHhZEm</t>
  </si>
  <si>
    <t>2022-09-20T14:39:03Z</t>
  </si>
  <si>
    <t>70wYA8oYHoMzhRRkARoMhU</t>
  </si>
  <si>
    <t>Sam's Town</t>
  </si>
  <si>
    <t>2lnzGkdtDj5mtlcOW2yRtG</t>
  </si>
  <si>
    <t>3adnLFXKO5rC1lhUNSeg3N</t>
  </si>
  <si>
    <t>Life For Rent</t>
  </si>
  <si>
    <t>7w5AOd6HrDIHewHfpABEss</t>
  </si>
  <si>
    <t>Heart Shaped World</t>
  </si>
  <si>
    <t>4amVKQVSct5Nn5WLMNsKEV</t>
  </si>
  <si>
    <t>Music Icons</t>
  </si>
  <si>
    <t>Yusuf / Cat Stevens</t>
  </si>
  <si>
    <t>3fl78noR9kt12JYKuTAP4a</t>
  </si>
  <si>
    <t>Back to Bedlam</t>
  </si>
  <si>
    <t>6mFkJmJqdDVQ1REhVfGgd1</t>
  </si>
  <si>
    <t>6zC0mpGYwbNTpk9SKwh08f</t>
  </si>
  <si>
    <t>Slowhand 35th Anniversary (Super Deluxe)</t>
  </si>
  <si>
    <t>1qPbGZqppFwLwcBC1JQ6Vr</t>
  </si>
  <si>
    <t>3AJwUDP919kvQ9QcozQPxg</t>
  </si>
  <si>
    <t>Parachutes</t>
  </si>
  <si>
    <t>0815caqt2Lytro5EIzMufT</t>
  </si>
  <si>
    <t>5Y9bUw2zFRTwufHt6S49FG</t>
  </si>
  <si>
    <t>Get Up</t>
  </si>
  <si>
    <t>38zsOOcu31XbbYj9BIPUF1</t>
  </si>
  <si>
    <t>0vg4WnUWvze6pBOJDTq99k</t>
  </si>
  <si>
    <t>1wb4P4F0sxAQ2KXrRvsx6n</t>
  </si>
  <si>
    <t>Come On Over</t>
  </si>
  <si>
    <t>4F1AgKpuFRMLEgtPETVwZk</t>
  </si>
  <si>
    <t>Help! (Remastered)</t>
  </si>
  <si>
    <t>7EZC6E7UjZe63f1jRmkWxt</t>
  </si>
  <si>
    <t>No Need To Argue (The Complete Sessions 1994-1995)</t>
  </si>
  <si>
    <t>Believer</t>
  </si>
  <si>
    <t>0pqnGHJpmpxLKifKRmU6WP</t>
  </si>
  <si>
    <t>Evolve</t>
  </si>
  <si>
    <t>2023-03-27T14:35:21Z</t>
  </si>
  <si>
    <t>yacht rock</t>
  </si>
  <si>
    <t>True Blue</t>
  </si>
  <si>
    <t>Stan Getz</t>
  </si>
  <si>
    <t>nederpop</t>
  </si>
  <si>
    <t>Summer Holiday</t>
  </si>
  <si>
    <t>Raindrops Keep Falling On My Head</t>
  </si>
  <si>
    <t>BJ Thomas</t>
  </si>
  <si>
    <t>Flowers</t>
  </si>
  <si>
    <t>Miley Cyrus</t>
  </si>
  <si>
    <t>0yLdNVWF3Srea0uzk55zFn</t>
  </si>
  <si>
    <t>2023-05-12T10:18:11Z</t>
  </si>
  <si>
    <t>7a9uRVfAZn74qHOFbQEiHN</t>
  </si>
  <si>
    <t>Raindrops Keep Falling on My Head - Rerecorded</t>
  </si>
  <si>
    <t>B.J. Thomas</t>
  </si>
  <si>
    <t>2023-05-12T09:42:09Z</t>
  </si>
  <si>
    <t>6j7zXlw0L2qHxVxmMb5qBm</t>
  </si>
  <si>
    <t>2023-05-12T09:40:11Z</t>
  </si>
  <si>
    <t>Jailhouse Rock</t>
  </si>
  <si>
    <t>4MO4IrAvsZu1aSlAVnYxWb</t>
  </si>
  <si>
    <t>2023-05-12T13:00:46Z</t>
  </si>
  <si>
    <t>4wCmqSrbyCgxEXROQE6vtV</t>
  </si>
  <si>
    <t>Somebody That I Used To Know</t>
  </si>
  <si>
    <t>Making Mirrors</t>
  </si>
  <si>
    <t>2023-05-12T13:01:24Z</t>
  </si>
  <si>
    <t>Gotye</t>
  </si>
  <si>
    <t>5Sg1MgUVDNaPoWsKzbjUNi</t>
  </si>
  <si>
    <t>2023-05-22T14:40:27Z</t>
  </si>
  <si>
    <t>7BqBn9nzAq8spo5e7cZ0dJ</t>
  </si>
  <si>
    <t>Just the Way You Are</t>
  </si>
  <si>
    <t>2023-05-22T14:37:45Z</t>
  </si>
  <si>
    <t>0gcjc7Vt5xtcfmJgf6g2IO</t>
  </si>
  <si>
    <t>When You Say Nothing At All</t>
  </si>
  <si>
    <t>Ronan</t>
  </si>
  <si>
    <t>Ronan Keating</t>
  </si>
  <si>
    <t>2023-05-22T14:34:37Z</t>
  </si>
  <si>
    <t>Just The Way You Are</t>
  </si>
  <si>
    <t>Keith Whitley</t>
  </si>
  <si>
    <t>Gloria Gaynor</t>
  </si>
  <si>
    <t>love;pop</t>
  </si>
  <si>
    <t>love;slow</t>
  </si>
  <si>
    <t>oldies;retro</t>
  </si>
  <si>
    <t>dance;alternative</t>
  </si>
  <si>
    <t>love</t>
  </si>
  <si>
    <t>alternative</t>
  </si>
  <si>
    <t>retro;oldies</t>
  </si>
  <si>
    <t>dance;jive;groovy</t>
  </si>
  <si>
    <t>groovy</t>
  </si>
  <si>
    <t>love;groovy</t>
  </si>
  <si>
    <t>dance;groovy;love</t>
  </si>
  <si>
    <t>fast;dance;groovy;alternative</t>
  </si>
  <si>
    <t>love;dance</t>
  </si>
  <si>
    <t>love;groovy;dance</t>
  </si>
  <si>
    <t>dance;fast</t>
  </si>
  <si>
    <t>instrumental</t>
  </si>
  <si>
    <t>groovy;dance;fast</t>
  </si>
  <si>
    <t>love;dance;fast</t>
  </si>
  <si>
    <t>oldies;retro;love</t>
  </si>
  <si>
    <t>love;alternative</t>
  </si>
  <si>
    <t>slow;love</t>
  </si>
  <si>
    <t>acoustic;love;dance;groovy</t>
  </si>
  <si>
    <t>oldies;retro;groovy</t>
  </si>
  <si>
    <t>alternative;groovy</t>
  </si>
  <si>
    <t>dance;fast;love;groovy</t>
  </si>
  <si>
    <t>groovy;dance</t>
  </si>
  <si>
    <t>groovy;alternative</t>
  </si>
  <si>
    <t>groovy;slow;alternative</t>
  </si>
  <si>
    <t>groovy;slow;love</t>
  </si>
  <si>
    <t>groovy;slow;alternative;acoustic</t>
  </si>
  <si>
    <t>acoustic;alternative;love</t>
  </si>
  <si>
    <t>alternative;groovy;dance</t>
  </si>
  <si>
    <t>alternative;acoustic</t>
  </si>
  <si>
    <t>oldies;retro;love;dance;fast</t>
  </si>
  <si>
    <t>groovy;love;dance;oldies;retro</t>
  </si>
  <si>
    <t>alternative;dance;fast;love</t>
  </si>
  <si>
    <t>love;slow;oldies;retro</t>
  </si>
  <si>
    <t>groovy;dance;fast;oldies;retro</t>
  </si>
  <si>
    <t>groovy;dance;fast;oldies;retro;love</t>
  </si>
  <si>
    <t>oldies;retro;love;groovy</t>
  </si>
  <si>
    <t>alternative;acoustic;love</t>
  </si>
  <si>
    <t>slow;love;acoustic;alternative;oldies;retro</t>
  </si>
  <si>
    <t>love;slow;alternative</t>
  </si>
  <si>
    <t>love;dance;groovy;fast</t>
  </si>
  <si>
    <t>alternative;acoustic;oldies;retro;love</t>
  </si>
  <si>
    <t>love;dance;fast;groovy</t>
  </si>
  <si>
    <t>retro;oldies;dance;groovy;love</t>
  </si>
  <si>
    <t>acoustic;alternative;love;retro;oldies</t>
  </si>
  <si>
    <t>alternative;acoustic;love;slow</t>
  </si>
  <si>
    <t>alternative;slow;love;retro;oldies</t>
  </si>
  <si>
    <t>oldies;retro;groovy;dance</t>
  </si>
  <si>
    <t>alternative;oldies;retro;slow;love</t>
  </si>
  <si>
    <t>slow;dance;love</t>
  </si>
  <si>
    <t>alternative;love</t>
  </si>
  <si>
    <t>dance;fast;groovy;love</t>
  </si>
  <si>
    <t>retro;oldies;groovy</t>
  </si>
  <si>
    <t>dance;alternative;groovy;love</t>
  </si>
  <si>
    <t>slow;retro;oldies</t>
  </si>
  <si>
    <t>dance;fast;love;groovy;retro;oldies</t>
  </si>
  <si>
    <t>acoustic;love;alternative</t>
  </si>
  <si>
    <t>oldies;retro;fast;dance;groovy;love</t>
  </si>
  <si>
    <t>alternative;dance;love</t>
  </si>
  <si>
    <t>dance;fast;groovy</t>
  </si>
  <si>
    <t>oldies;retro;dance;fast;groovy</t>
  </si>
  <si>
    <t>alternative;slow;love</t>
  </si>
  <si>
    <t>dance;fast;oldies;retro;groovy</t>
  </si>
  <si>
    <t>dance;love;groovy</t>
  </si>
  <si>
    <t>jazz;oldies;retro;love</t>
  </si>
  <si>
    <t>dance;fast;retro;oldies;alternative;acoustic</t>
  </si>
  <si>
    <t>slow;oldies;retro;love;acoustic</t>
  </si>
  <si>
    <t>alternative;acoustic;love;groovy</t>
  </si>
  <si>
    <t>love;slow;groovy;alternative</t>
  </si>
  <si>
    <t>dance;fast;groovy;love;oldies;retro</t>
  </si>
  <si>
    <t>dance;jive;fast;groovy;love;oldies;retro</t>
  </si>
  <si>
    <t>groovy;jazz;slow;oldies;retro</t>
  </si>
  <si>
    <t>love;slow;jazz;bossa;oldies;retro</t>
  </si>
  <si>
    <t>pop;acoustic;alternative;retro;oldies</t>
  </si>
  <si>
    <t>love;dance;fast;oldies;retro</t>
  </si>
  <si>
    <t>acoustic;love;dance;groovy;oldies;retro</t>
  </si>
  <si>
    <t>dance;fast;love;groovy;oldies;retro</t>
  </si>
  <si>
    <t>groovy;jazz;slow;love;oldies;retro</t>
  </si>
  <si>
    <t>jazz;love;groovy;dance;oldies;retro</t>
  </si>
  <si>
    <t>groovy;fast;dance;love;oldies;retro</t>
  </si>
  <si>
    <t>alternative;dance;groovy;oldies;retro</t>
  </si>
  <si>
    <t>acoustic;alternative</t>
  </si>
  <si>
    <t>dance;groovy</t>
  </si>
  <si>
    <t>oldies;retro;dance;jive;groovy</t>
  </si>
  <si>
    <t>groovy;dance;love</t>
  </si>
  <si>
    <t>groovy;dance;slow</t>
  </si>
  <si>
    <t>groovy;dance;fast;love</t>
  </si>
  <si>
    <t>oldies;retro;dance;jive;fast</t>
  </si>
  <si>
    <t>love;slow;dance</t>
  </si>
  <si>
    <t>love;slow;groovy;acoustic</t>
  </si>
  <si>
    <t>groovy;dance;love;acoustic</t>
  </si>
  <si>
    <t>love;groovy;oldies;retro;acoustic</t>
  </si>
  <si>
    <t>dance;fast;love;acoustic</t>
  </si>
  <si>
    <t>dance;fast;love</t>
  </si>
  <si>
    <t>alternative;acoustic;groovy</t>
  </si>
  <si>
    <t>alternative;dance;fast</t>
  </si>
  <si>
    <t>groovy;dance;acoustic;alternative</t>
  </si>
  <si>
    <t>alternative;love;acoustic;dance</t>
  </si>
  <si>
    <t>dance;jive</t>
  </si>
  <si>
    <t>jazz;dance;oldies;retro;love</t>
  </si>
  <si>
    <t>jazz;dance;groovy;retro;oldies</t>
  </si>
  <si>
    <t>oldies;retro;love;dance;acoustic</t>
  </si>
  <si>
    <t>oldies;retro;dance;groovy</t>
  </si>
  <si>
    <t>acoustic;dance;groovy</t>
  </si>
  <si>
    <t>slow;dance;love;acoustic;retro;oldies</t>
  </si>
  <si>
    <t>dance;groove;love</t>
  </si>
  <si>
    <t>groovy;fast;dance;oldies;retro</t>
  </si>
  <si>
    <t>alternative;dance;groovy;acoustic</t>
  </si>
  <si>
    <t>acoustic;love;groovy</t>
  </si>
  <si>
    <t>dance;slow</t>
  </si>
  <si>
    <t>jazz;dance;love;groovy</t>
  </si>
  <si>
    <t>alternative;fast;dance;groovy</t>
  </si>
  <si>
    <t>pop;alternative;love;dance</t>
  </si>
  <si>
    <t>slow;love;acoustic;alternative</t>
  </si>
  <si>
    <t>oldies;retro;jazz;dance;groovy</t>
  </si>
  <si>
    <t>slow;love;acoustic</t>
  </si>
  <si>
    <t>acoustic;alternative;groovy;love</t>
  </si>
  <si>
    <t>oldies;retro;dance;jive;groovy;love</t>
  </si>
  <si>
    <t>jazz;love;dance;groovy;oldies;retro</t>
  </si>
  <si>
    <t>dance;jive;oldies;retro;love</t>
  </si>
  <si>
    <t>jazz;acoustic;groovy;oldies;retro</t>
  </si>
  <si>
    <t>dance;fast;groovy;alternative</t>
  </si>
  <si>
    <t>oldies;retro;acoustic</t>
  </si>
  <si>
    <t>oldies;retro;acoustic;jazz;groovy</t>
  </si>
  <si>
    <t>acoustic;groovy;dance;slow</t>
  </si>
  <si>
    <t>slow;acoustic;groovy;love</t>
  </si>
  <si>
    <t>jazz;acoustic;groovy;oldies;retro;love</t>
  </si>
  <si>
    <t>retro;oldies;jive;dance;groovy</t>
  </si>
  <si>
    <t>groovy;dance;oldies;retro;love</t>
  </si>
  <si>
    <t>slow;acoustic;alternative;love</t>
  </si>
  <si>
    <t>dance;fast;alternative;acoustic</t>
  </si>
  <si>
    <t>alternative;groovy;love</t>
  </si>
  <si>
    <t>oldies;retro;slow;acoustic;love</t>
  </si>
  <si>
    <t>alternative;acoustic;dance;love</t>
  </si>
  <si>
    <t>dance;fast;groocy;retro;oldies</t>
  </si>
  <si>
    <t>alternative;groovy;acoustic</t>
  </si>
  <si>
    <t>groovy;dance;alternative;love</t>
  </si>
  <si>
    <t>groovy;dance;acoustic;alternative;love;fast</t>
  </si>
  <si>
    <t>dance;fast;acoustic;love</t>
  </si>
  <si>
    <t>acoustic;alternative;slow</t>
  </si>
  <si>
    <t>dance;fast;love;groovy;acoustic</t>
  </si>
  <si>
    <t>slow;groovy;alternative</t>
  </si>
  <si>
    <t>slow;acoustic;alternative;love;oldies;retro</t>
  </si>
  <si>
    <t>slow;acoustic;love;retro;oldies</t>
  </si>
  <si>
    <t>slow;dance;alternative;love</t>
  </si>
  <si>
    <t>slow;love;oldies;retro</t>
  </si>
  <si>
    <t>dance;love;slow</t>
  </si>
  <si>
    <t>acoustic;groovy;oldies;retro</t>
  </si>
  <si>
    <t>groovy;oldies;retro</t>
  </si>
  <si>
    <t>love;slow;oldies;retro;waltz</t>
  </si>
  <si>
    <t>dance;groovy;love;waltz</t>
  </si>
  <si>
    <t>instrumental;waltz</t>
  </si>
  <si>
    <t>oldies;retro;love;slow;waltz</t>
  </si>
  <si>
    <t>slow;love;dance;waltz</t>
  </si>
  <si>
    <t>jazz;slow;love;waltz</t>
  </si>
  <si>
    <t>love;slow;groovy;waltz</t>
  </si>
  <si>
    <t>slow;oldies;retro;love;acoustic;waltz</t>
  </si>
  <si>
    <t>love;slow;acoustic;waltz</t>
  </si>
  <si>
    <t>slow;acoustic;oldies;retro;love;waltz</t>
  </si>
  <si>
    <t>slow;love;acoustic;alternative;groovy;waltz</t>
  </si>
  <si>
    <t>oldies;retro;love;groovy;dance;waltz</t>
  </si>
  <si>
    <t>oldies;retro;love;sweet</t>
  </si>
  <si>
    <t>oldies;retro;dance;groovy;sweet</t>
  </si>
  <si>
    <t>dance;groovy;love;sweet</t>
  </si>
  <si>
    <t>oldies;retro;groovy;acoustic;sweet</t>
  </si>
  <si>
    <t>oldies;retro;love;dance;acoustic;waltz;sweet</t>
  </si>
  <si>
    <t>oldies;retro;love;dance;fast;groovy;sweet</t>
  </si>
  <si>
    <t>dance;love;oldies;retro;fast;acoustic;sweet</t>
  </si>
  <si>
    <t>oldies;retro;dance;love;fast;sweet</t>
  </si>
  <si>
    <t>slow;love;dance;jazz;oldies;retro;acoustic;waltz;sweet</t>
  </si>
  <si>
    <t>love;slow;oldies;retro;sweet</t>
  </si>
  <si>
    <t>alternative;groovy;slow;love</t>
  </si>
  <si>
    <t>dance;fast;groovy;retro;oldies;love</t>
  </si>
  <si>
    <t>oldies;retro;dance;groovy;fast;sweet;love</t>
  </si>
  <si>
    <t>dance;jive;oldies;retro;groovy;love</t>
  </si>
  <si>
    <t>oldies;retro;dance;fast;groovy;acoustic;sweet;love</t>
  </si>
  <si>
    <t>alternative;slow;acoustic;love</t>
  </si>
  <si>
    <t>groovy;dance;acoustic;alternative;sweet;love</t>
  </si>
  <si>
    <t>fast;dance;groovy;love</t>
  </si>
  <si>
    <t>groove;dance</t>
  </si>
  <si>
    <t>oldies;retro;acoustic;groovy;waltz</t>
  </si>
  <si>
    <t>groovy;dance;jive;oldies;retro;fast</t>
  </si>
  <si>
    <t>groovy;acoustic;love;fast;sweet</t>
  </si>
  <si>
    <t>love;dance;sweet;groovy</t>
  </si>
  <si>
    <t>love;slow;acoustic;jazz;sweet</t>
  </si>
  <si>
    <t>dance;fast;love;groovy;sweet</t>
  </si>
  <si>
    <t>alternative;acoustic;love;sweet</t>
  </si>
  <si>
    <t>acoustic;love;sweet</t>
  </si>
  <si>
    <t>dance;fast;groovy;love;sweet</t>
  </si>
  <si>
    <t>dance;groovy;love;acoustic;alternative;sweet</t>
  </si>
  <si>
    <t>alternative;love;acoustic;groovy;sweet</t>
  </si>
  <si>
    <t>oldies;retro;love;acoustic;groovy;sweet</t>
  </si>
  <si>
    <t>acoustic;slow;alternative;folk</t>
  </si>
  <si>
    <t>oldies;retro;acoustic;alternative;folk</t>
  </si>
  <si>
    <t>acoustic;oldies;retro;folk</t>
  </si>
  <si>
    <t>slow;love;acoustic;alternative;oldies;retro;waltz;folk</t>
  </si>
  <si>
    <t>acoustic;alternative;love;sweet;folk;waltz</t>
  </si>
  <si>
    <t>fast;dance;groovy;retro;oldies;folk</t>
  </si>
  <si>
    <t>acoustic;love;slow;groovy;oldies;retro;sweet;folk</t>
  </si>
  <si>
    <t>acoustic;oldies;retro;love;dance;sweet;folk</t>
  </si>
  <si>
    <t>acoustic;slow;oldies;retro;alternative;folk</t>
  </si>
  <si>
    <t>oldies;retro;acoustic;folk</t>
  </si>
  <si>
    <t>alternative;acoustic;oldies;retro;love;folk</t>
  </si>
  <si>
    <t>alternative;groovy;dance;oldies;retro;folk;slow</t>
  </si>
  <si>
    <t>One</t>
  </si>
  <si>
    <t>U2</t>
  </si>
  <si>
    <t>With Or Without You</t>
  </si>
  <si>
    <t>Slow</t>
  </si>
  <si>
    <t>slow;acoustic;love</t>
  </si>
  <si>
    <t>Zimmer: A Man For All Seasons</t>
  </si>
  <si>
    <t>3G69vJMWsX6ZohTykad2AU</t>
  </si>
  <si>
    <t>Achtung Baby (Deluxe Edition)</t>
  </si>
  <si>
    <t>6QPhpvO1pWDS91EsEmzsbc</t>
  </si>
  <si>
    <t>U218 Singles</t>
  </si>
  <si>
    <t>2023-06-22T16:40:19Z</t>
  </si>
  <si>
    <t>How Deep Is Your Love</t>
  </si>
  <si>
    <t>Bee Gees</t>
  </si>
  <si>
    <t>retro;oldies;groovy;love;dance</t>
  </si>
  <si>
    <t>2JoZzpdeP2G6Csfdq5aLXP</t>
  </si>
  <si>
    <t>Greatest</t>
  </si>
  <si>
    <t>2023-07-07T18:23:47Z</t>
  </si>
  <si>
    <t>Shotgun</t>
  </si>
  <si>
    <t>Dua Lipa</t>
  </si>
  <si>
    <t>4ofwffwvvnbSkrMSCKQDaC</t>
  </si>
  <si>
    <t>Staying at Tamara's</t>
  </si>
  <si>
    <t>2023-07-12T15:51:22Z</t>
  </si>
  <si>
    <t>Mary Hopkin</t>
  </si>
  <si>
    <t>Those Were The Days</t>
  </si>
  <si>
    <t>alternative;retro;oldies;dance</t>
  </si>
  <si>
    <t>Another Day In Paradise</t>
  </si>
  <si>
    <t>Phil Collins</t>
  </si>
  <si>
    <t>1NCuYqMc8hKMb4cpNTcJbD</t>
  </si>
  <si>
    <t>Another Day in Paradise - 2016 Remaster</t>
  </si>
  <si>
    <t>...But Seriously (Deluxe Edition)</t>
  </si>
  <si>
    <t>2023-07-22T06:50:19Z</t>
  </si>
  <si>
    <t>Bitter Sweet Symphony - Remastered 2016</t>
  </si>
  <si>
    <t>A Hard Day's Night</t>
  </si>
  <si>
    <t>In My Life</t>
  </si>
  <si>
    <t>love;dance;groovy</t>
  </si>
  <si>
    <t>The Temple Of The King</t>
  </si>
  <si>
    <t>Rainbow</t>
  </si>
  <si>
    <t>1pctwlBtIcKIjQMzsVcGHB</t>
  </si>
  <si>
    <t>A Hard Day's Night - Remastered 2015</t>
  </si>
  <si>
    <t>2023-07-23T10:24:47Z</t>
  </si>
  <si>
    <t>3KfbEIOC7YIv90FIfNSZpo</t>
  </si>
  <si>
    <t>In My Life - Remastered 2009</t>
  </si>
  <si>
    <t>2023-07-23T10:38:12Z</t>
  </si>
  <si>
    <t>0gaMmmhGi5buPXpquSAfxg</t>
  </si>
  <si>
    <t>Ritchie Blackmore's Rainbow</t>
  </si>
  <si>
    <t>2023-07-23T11:08:16Z</t>
  </si>
  <si>
    <t>Shape Of My Heart</t>
  </si>
  <si>
    <t>6CKoWCWAqEVWVjpeoJXyNH</t>
  </si>
  <si>
    <t>Ten Summoner's Tales</t>
  </si>
  <si>
    <t>2023-07-24T02:00:01Z</t>
  </si>
  <si>
    <t>Love Story</t>
  </si>
  <si>
    <t>Taylor Swift</t>
  </si>
  <si>
    <t>love;dance;acoustic</t>
  </si>
  <si>
    <t>1vrd6UOGamcKNGnSHJQlSt</t>
  </si>
  <si>
    <t>Fearless</t>
  </si>
  <si>
    <t>2023-07-26T06:19:52Z</t>
  </si>
  <si>
    <t>1Hv1VTm8zeOeybub15mA2R</t>
  </si>
  <si>
    <t>Smooth Operator - Single Version</t>
  </si>
  <si>
    <t>The Best of Sade</t>
  </si>
  <si>
    <t>2023-07-23T12:53:51Z</t>
  </si>
  <si>
    <t>60nZcImufyMA1MKQY3dcCH</t>
  </si>
  <si>
    <t>G I R L</t>
  </si>
  <si>
    <t>Pharrell Williams</t>
  </si>
  <si>
    <t>2023-07-27T16:00:21Z</t>
  </si>
  <si>
    <t>oldies;retro;acoustic;love;groovy;folk;waltz</t>
  </si>
  <si>
    <t>7F7ueUXVb16kzTVsPhTMCw</t>
  </si>
  <si>
    <t>Thank You For The Music - Doris Day Mix</t>
  </si>
  <si>
    <t>2023-07-28T02:02:25Z</t>
  </si>
  <si>
    <t>Superman (Scrubs theme)</t>
  </si>
  <si>
    <t>I'll Be There For You (Friends theme)</t>
  </si>
  <si>
    <t>Great Balls Of Fire</t>
  </si>
  <si>
    <t>4feXcsElKIVsGwkbnTHAfV</t>
  </si>
  <si>
    <t>Somethin' Stupid</t>
  </si>
  <si>
    <t>The World We Knew</t>
  </si>
  <si>
    <t>1967-08</t>
  </si>
  <si>
    <t>2023-07-28T02:27:21Z</t>
  </si>
  <si>
    <t>Something Stupid</t>
  </si>
  <si>
    <t>slow;love;acoustic;alternative;dance</t>
  </si>
  <si>
    <t>0FDzzruyVECATHXKHFs9eJ</t>
  </si>
  <si>
    <t>A Sky Full of Stars</t>
  </si>
  <si>
    <t>Ghost Stories</t>
  </si>
  <si>
    <t>2024-02-21T16:47:29Z</t>
  </si>
  <si>
    <t>a thousand years</t>
  </si>
  <si>
    <t>7mze3mJmu79AJu8SnS37pS</t>
  </si>
  <si>
    <t>Aicha</t>
  </si>
  <si>
    <t>Bread &amp; Barrels Of Water (International Version)</t>
  </si>
  <si>
    <t>Outlandish</t>
  </si>
  <si>
    <t>2024-02-21T16:47:38Z</t>
  </si>
  <si>
    <t>5ChkMS8OtdzJeqyybCc9R5</t>
  </si>
  <si>
    <t>Billie Jean</t>
  </si>
  <si>
    <t>Thriller 25 Super Deluxe Edition</t>
  </si>
  <si>
    <t>2024-02-24T05:36:52Z</t>
  </si>
  <si>
    <t>5jgFfDIR6FR0gvlA56Nakr</t>
  </si>
  <si>
    <t>Blackbird - Remastered 2009</t>
  </si>
  <si>
    <t>The Beatles (Remastered)</t>
  </si>
  <si>
    <t>2024-08-25T02:13:39Z</t>
  </si>
  <si>
    <t>5auMzVHFr5Zfw6IbKarZ56</t>
  </si>
  <si>
    <t>Breathe (2 AM)</t>
  </si>
  <si>
    <t>Wreck of the Day</t>
  </si>
  <si>
    <t>Anna Nalick</t>
  </si>
  <si>
    <t>2023-10-22T03:01:10Z</t>
  </si>
  <si>
    <t>6sy3LkhNFjJWlaeSMNwQ62</t>
  </si>
  <si>
    <t>Counting Stars</t>
  </si>
  <si>
    <t>Native</t>
  </si>
  <si>
    <t>OneRepublic</t>
  </si>
  <si>
    <t>2024-02-27T02:16:57Z</t>
  </si>
  <si>
    <t>7cBs6EjIeGQD28QMOC0F2X</t>
  </si>
  <si>
    <t>Every Breath You Take</t>
  </si>
  <si>
    <t>The Best 80s Love Songs Album In The World...Ever!</t>
  </si>
  <si>
    <t>2024-02-28T04:28:52Z</t>
  </si>
  <si>
    <t>1prZ0pr6XoRCxcrC3MCL0M</t>
  </si>
  <si>
    <t>Everywhere</t>
  </si>
  <si>
    <t>2023-12-26T16:41:33Z</t>
  </si>
  <si>
    <t>4KoecuyOpZaNFZ0UqVsllc</t>
  </si>
  <si>
    <t>Follow Me</t>
  </si>
  <si>
    <t>Double Wide</t>
  </si>
  <si>
    <t>Uncle Kracker</t>
  </si>
  <si>
    <t>2023-12-14T08:09:12Z</t>
  </si>
  <si>
    <t>5bDrb5U9wtV4tzeiVhw7kO</t>
  </si>
  <si>
    <t>Get Lucky (feat. Pharrell Williams and Nile Rodgers)</t>
  </si>
  <si>
    <t>New Year's Eve - NYE 2018/2019</t>
  </si>
  <si>
    <t>2024-02-28T08:23:38Z</t>
  </si>
  <si>
    <t>5USZyz6dnBEn1oLsKcAKQy</t>
  </si>
  <si>
    <t>Shrek</t>
  </si>
  <si>
    <t>Rufus Wainwright</t>
  </si>
  <si>
    <t>2024-02-25T01:22:03Z</t>
  </si>
  <si>
    <t>4ptonNXwbPtpiPX062ruaM</t>
  </si>
  <si>
    <t>Havana - No Rap Version</t>
  </si>
  <si>
    <t>Camila Cabello</t>
  </si>
  <si>
    <t>2024-02-05T05:52:05Z</t>
  </si>
  <si>
    <t>26QKxvjlCo2fSd3T4c8Zpb</t>
  </si>
  <si>
    <t>Heart of Gold</t>
  </si>
  <si>
    <t>Harvest (50th Anniversary Edition)</t>
  </si>
  <si>
    <t>2024-08-25T01:45:05Z</t>
  </si>
  <si>
    <t>2dsMRyRc0ZQrICwHfmtCFb</t>
  </si>
  <si>
    <t>Hero</t>
  </si>
  <si>
    <t>Enrique Iglesias</t>
  </si>
  <si>
    <t>2024-02-28T04:30:44Z</t>
  </si>
  <si>
    <t>40riOy7x9W7GXjyGp4pjAv</t>
  </si>
  <si>
    <t>Hotel California - 2013 Remaster</t>
  </si>
  <si>
    <t>Hotel California (2013 Remaster)</t>
  </si>
  <si>
    <t>2024-02-01T04:39:42Z</t>
  </si>
  <si>
    <t>6Qyc6fS4DsZjB2mRW9DsQs</t>
  </si>
  <si>
    <t>Iris</t>
  </si>
  <si>
    <t>Dizzy up the Girl</t>
  </si>
  <si>
    <t>The Goo Goo Dolls</t>
  </si>
  <si>
    <t>2024-03-27T16:40:51Z</t>
  </si>
  <si>
    <t>jar of hearts</t>
  </si>
  <si>
    <t>39LLxExYz6ewLAcYrzQQyP</t>
  </si>
  <si>
    <t>Levitating</t>
  </si>
  <si>
    <t>Future Nostalgia</t>
  </si>
  <si>
    <t>2024-02-05T06:22:06Z</t>
  </si>
  <si>
    <t>1XwAKjAZ1xDZOcuyZoqce4</t>
  </si>
  <si>
    <t>Moon River (From Breakfast at Tiffany's) [Remastered]</t>
  </si>
  <si>
    <t>Moon River (Breakfast at Tiffany's) [Remastered]</t>
  </si>
  <si>
    <t>2024-01-17T04:40:40Z</t>
  </si>
  <si>
    <t>7LcfRTgAVTs5pQGEQgUEzN</t>
  </si>
  <si>
    <t>Hands All Over</t>
  </si>
  <si>
    <t>2024-02-28T09:05:55Z</t>
  </si>
  <si>
    <t>19Shlms2uTnOjIUg50TXzd</t>
  </si>
  <si>
    <t>Never Going Back Again - 2004 Remaster</t>
  </si>
  <si>
    <t>2023-12-30T13:09:58Z</t>
  </si>
  <si>
    <t>3gdewACMIVMEWVbyb8O9sY</t>
  </si>
  <si>
    <t>Honky Chateau</t>
  </si>
  <si>
    <t>2024-01-20T14:03:27Z</t>
  </si>
  <si>
    <t>0TK2YIli7K1leLovkQiNik</t>
  </si>
  <si>
    <t>Señorita</t>
  </si>
  <si>
    <t>2024-02-05T05:52:21Z</t>
  </si>
  <si>
    <t>5ghIJDpPoe3CfHMGu71E6T</t>
  </si>
  <si>
    <t>Smells Like Teen Spirit</t>
  </si>
  <si>
    <t>Nevermind (Remastered)</t>
  </si>
  <si>
    <t>Nirvana</t>
  </si>
  <si>
    <t>2024-06-17T13:30:26Z</t>
  </si>
  <si>
    <t>6HPLeKiNm92RbykX2BDTUB</t>
  </si>
  <si>
    <t>Stuck On You</t>
  </si>
  <si>
    <t>2024-02-21T16:47:34Z</t>
  </si>
  <si>
    <t>13nZlZZYT0VkoUkcZ9j8fI</t>
  </si>
  <si>
    <t>Sugar</t>
  </si>
  <si>
    <t>V</t>
  </si>
  <si>
    <t>2024-02-05T06:33:44Z</t>
  </si>
  <si>
    <t>1OitCc6VrNZGV5FHF2Mkws</t>
  </si>
  <si>
    <t>Titanium (Acoustic)</t>
  </si>
  <si>
    <t>Shannon &amp; Keast</t>
  </si>
  <si>
    <t>2024-02-16T14:27:30Z</t>
  </si>
  <si>
    <t>0Am4hsFXTqFeX1thMW6xAY</t>
  </si>
  <si>
    <t>Umbrella - Acoustic</t>
  </si>
  <si>
    <t>Umbrella (Acoustic)</t>
  </si>
  <si>
    <t>Callum J Wright</t>
  </si>
  <si>
    <t>2024-02-16T14:28:53Z</t>
  </si>
  <si>
    <t>3BQHpFgAp4l80e1XslIjNI</t>
  </si>
  <si>
    <t>Yesterday - Remastered 2009</t>
  </si>
  <si>
    <t>2024-08-25T02:14:38Z</t>
  </si>
  <si>
    <t>A Sky Full Of Stars</t>
  </si>
  <si>
    <t>Hip-hop</t>
  </si>
  <si>
    <t>Get Lucky</t>
  </si>
  <si>
    <t>Havana</t>
  </si>
  <si>
    <t>Goo Goo Dolls</t>
  </si>
  <si>
    <t>Moves Like Jagger</t>
  </si>
  <si>
    <t>Senorita</t>
  </si>
  <si>
    <t>7jreWLyOSmYumdQtttnO4g</t>
  </si>
  <si>
    <t>Kate and Leopold (Music from the Motion Picture)</t>
  </si>
  <si>
    <t>2024-08-25T11:18:35Z</t>
  </si>
  <si>
    <t>3NKzaAQXoHXhXqMHN9IsRb</t>
  </si>
  <si>
    <t>For You</t>
  </si>
  <si>
    <t>Inger Marie Gundersen</t>
  </si>
  <si>
    <t>2025-03-13T01:48:02Z</t>
  </si>
  <si>
    <t>Inger Marie</t>
  </si>
  <si>
    <t>Answer Me My Love</t>
  </si>
  <si>
    <t>classic rock,psychedelic rock</t>
  </si>
  <si>
    <t>rockabilly,rock and roll</t>
  </si>
  <si>
    <t>soft pop</t>
  </si>
  <si>
    <t>yacht rock,soft rock</t>
  </si>
  <si>
    <t>doo-wop</t>
  </si>
  <si>
    <t>folk</t>
  </si>
  <si>
    <t>soft rock</t>
  </si>
  <si>
    <t>folk rock,folk</t>
  </si>
  <si>
    <t>tango</t>
  </si>
  <si>
    <t>Amor (Edición Especial En Español)</t>
  </si>
  <si>
    <t>french jazz</t>
  </si>
  <si>
    <t>britpop,shoegaze</t>
  </si>
  <si>
    <t>folk,folk rock</t>
  </si>
  <si>
    <t>soft pop,acoustic pop</t>
  </si>
  <si>
    <t>doo-wop,adult standards</t>
  </si>
  <si>
    <t>funk rock,alternative rock,rock</t>
  </si>
  <si>
    <t>yacht rock,adult standards</t>
  </si>
  <si>
    <t>pop,reggae</t>
  </si>
  <si>
    <t>classic rock,rock,glam rock</t>
  </si>
  <si>
    <t>singer-songwriter</t>
  </si>
  <si>
    <t>adult standards</t>
  </si>
  <si>
    <t>classic country</t>
  </si>
  <si>
    <t>britpop,madchester</t>
  </si>
  <si>
    <t>bluegrass,newgrass,folk,americana</t>
  </si>
  <si>
    <t>french jazz,vocal jazz,jazz,smooth jazz</t>
  </si>
  <si>
    <t>nu metal,funk rock,alternative metal,alternative rock</t>
  </si>
  <si>
    <t>classic rock,progressive rock,aor</t>
  </si>
  <si>
    <t>christmas</t>
  </si>
  <si>
    <t>soft rock,yacht rock</t>
  </si>
  <si>
    <t>classic rock,yacht rock,soft rock</t>
  </si>
  <si>
    <t>indie folk</t>
  </si>
  <si>
    <t>folk rock,country rock</t>
  </si>
  <si>
    <t>classic rock</t>
  </si>
  <si>
    <t>french house,electronic,electro</t>
  </si>
  <si>
    <t>acoustic pop</t>
  </si>
  <si>
    <t>Hands All Over (Deluxe)</t>
  </si>
  <si>
    <t>punk,pop punk</t>
  </si>
  <si>
    <t>rockabilly,rock and roll,boogie-woogie</t>
  </si>
  <si>
    <t>classic rock,southern rock,country rock</t>
  </si>
  <si>
    <t>classic rock,folk rock,singer-songwriter,roots rock</t>
  </si>
  <si>
    <t>motown</t>
  </si>
  <si>
    <t>post-grunge</t>
  </si>
  <si>
    <t>latin pop,latin</t>
  </si>
  <si>
    <t>disco</t>
  </si>
  <si>
    <t>7rIovIsXE6kMn629b7kDig</t>
  </si>
  <si>
    <t>Love Tracks</t>
  </si>
  <si>
    <t>2025-07-08T16:55:15Z</t>
  </si>
  <si>
    <t>r&amp;b,neo soul</t>
  </si>
  <si>
    <t>folk rock,singer-songwriter</t>
  </si>
  <si>
    <t>Rubber Soul (Remastered 2009)</t>
  </si>
  <si>
    <t>jangle pop,alternative rock,rock</t>
  </si>
  <si>
    <t>country,classic country</t>
  </si>
  <si>
    <t>blues,blues rock,classic rock</t>
  </si>
  <si>
    <t>folk pop</t>
  </si>
  <si>
    <t>soft pop,neo soul</t>
  </si>
  <si>
    <t>yacht rock,classic rock,soft rock,southern rock</t>
  </si>
  <si>
    <t>folk,indie folk,folk rock</t>
  </si>
  <si>
    <t>glam metal</t>
  </si>
  <si>
    <t>alternative rock</t>
  </si>
  <si>
    <t>nu metal,rap metal,rock,alternative metal</t>
  </si>
  <si>
    <t>latin pop</t>
  </si>
  <si>
    <t>rock</t>
  </si>
  <si>
    <t>motown,classic soul,soul</t>
  </si>
  <si>
    <t>rockabilly</t>
  </si>
  <si>
    <t>bossa nova,brazilian jazz,latin jazz</t>
  </si>
  <si>
    <t>adult standards,big band</t>
  </si>
  <si>
    <t>classic country,outlaw country,country</t>
  </si>
  <si>
    <t>post-grunge,rock</t>
  </si>
  <si>
    <t>garage rock,blues rock,rock,alternative rock</t>
  </si>
  <si>
    <t>grunge,rock</t>
  </si>
  <si>
    <t>reggae</t>
  </si>
  <si>
    <t>rock,glam metal,hard rock,classic rock</t>
  </si>
  <si>
    <t>christmas,adult standards</t>
  </si>
  <si>
    <t>Sweet Dreams (Are Made of This) - 2005 Remaster</t>
  </si>
  <si>
    <t>new wave,synthpop</t>
  </si>
  <si>
    <t>jazz,cool jazz</t>
  </si>
  <si>
    <t>nu metal</t>
  </si>
  <si>
    <t>hard rock,aor,metal,heavy metal</t>
  </si>
  <si>
    <t>Time After Time (Time After Time)</t>
  </si>
  <si>
    <t>edm</t>
  </si>
  <si>
    <t>folk rock,folk,singer-songwriter</t>
  </si>
  <si>
    <t>progressive rock,psychedelic rock,classic rock,art rock,rock</t>
  </si>
  <si>
    <t>country</t>
  </si>
  <si>
    <t>Dreams</t>
  </si>
  <si>
    <t>Black Or White</t>
  </si>
  <si>
    <t>Hans Zimmer;Robbie Williams</t>
  </si>
  <si>
    <t>Answer Me, My Love</t>
  </si>
  <si>
    <t>smooth jazz,jazz</t>
  </si>
  <si>
    <t>6wdviVWctiZnY6tVn6bh6A</t>
  </si>
  <si>
    <t>Black or White - Single Version</t>
  </si>
  <si>
    <t>Number Ones</t>
  </si>
  <si>
    <t>2025-09-19T07:29:05Z</t>
  </si>
  <si>
    <t>Peter, Paul and Mary</t>
  </si>
  <si>
    <t>Waldir Azevedo;Yo-Yo Ma;Romero Lubambo;Cyro Baptista;Jose De Faria;José Da Silva;Helio Alves;Nilson Matta;Paquito D'Rivera</t>
  </si>
  <si>
    <t>Katy Perry;Skip Marley</t>
  </si>
  <si>
    <t>Take Me Home, Country Roads - Original Version</t>
  </si>
  <si>
    <t>Poems, Prayers and Promises</t>
  </si>
  <si>
    <t>0ofHAoxe9vBkTCp2UQIavz</t>
  </si>
  <si>
    <t>Dreams - 2004 Remaster</t>
  </si>
  <si>
    <t>2025-09-19T07:28:54Z</t>
  </si>
  <si>
    <t>Oscar Isaac;Marcus Mumford</t>
  </si>
  <si>
    <t>I'm Wide Awake, It's Morning</t>
  </si>
  <si>
    <t>christmas,big band,adult standards,swing music,jazz,vocal jazz</t>
  </si>
  <si>
    <t>Daft Punk;Pharrell Williams;Nile Rodgers</t>
  </si>
  <si>
    <t>Happy - From "Despicable Me 2"</t>
  </si>
  <si>
    <t>NOW That's What I Call Music, Vol. 65</t>
  </si>
  <si>
    <t>Save Me, San Francisco (Golden Gate Edition)</t>
  </si>
  <si>
    <t>I'll Be There for You (From "Friends")</t>
  </si>
  <si>
    <t>Daft Punk;Julian Casablancas</t>
  </si>
  <si>
    <t>P!nk;Nate Ruess</t>
  </si>
  <si>
    <t>Cyrille Aimee;Diego Figueiredo</t>
  </si>
  <si>
    <t>Meghan Trainor;John Legend</t>
  </si>
  <si>
    <t>Lonely Stranger - Acoustic; Live at MTV Unplugged, Bray Film Studios, Windsor, England, UK, 1/16/1992; 2013 Remaster</t>
  </si>
  <si>
    <t>Jason Mraz;Colbie Caillat</t>
  </si>
  <si>
    <t>Santana;The Product G&amp;B</t>
  </si>
  <si>
    <t>Money, Money, Money</t>
  </si>
  <si>
    <t>Moves Like Jagger - Studio Recording From "The Voice" Performance</t>
  </si>
  <si>
    <t>Maroon 5;Christina Aguilera</t>
  </si>
  <si>
    <t>Mikey McCleary;Mauli Dave</t>
  </si>
  <si>
    <t>Grand Old Country, Vol. 4</t>
  </si>
  <si>
    <t>Oh, Pretty Woman</t>
  </si>
  <si>
    <t>Jessie J;B.o.B</t>
  </si>
  <si>
    <t>Que Sera Sera (Whatever Will Be, Will Be) [From "The Man Who Knew Too Much"] (with Frank DeVol &amp; His Orchestra)</t>
  </si>
  <si>
    <t>Doris Day;Frank DeVol &amp; His Orchestra</t>
  </si>
  <si>
    <t>Rocket Man (I Think It's Going To Be A Long, Long Time)</t>
  </si>
  <si>
    <t>Shawn Mendes;Camila Cabello</t>
  </si>
  <si>
    <t>The Best Of Earth, Wind &amp; Fire Vol. 1</t>
  </si>
  <si>
    <t>Earth, Wind &amp; Fire</t>
  </si>
  <si>
    <t>funk,disco</t>
  </si>
  <si>
    <t>Simply the Best (From "Schitt's Creek")</t>
  </si>
  <si>
    <t>Santana;Rob Thomas</t>
  </si>
  <si>
    <t>Gotye;Kimbra</t>
  </si>
  <si>
    <t>Frank Sinatra;Nancy Sinatra</t>
  </si>
  <si>
    <t>Sugar, Sugar</t>
  </si>
  <si>
    <t>The Very Best Of "The Archies"</t>
  </si>
  <si>
    <t>Sweet, Sweet Smile</t>
  </si>
  <si>
    <t>Eurythmics;Annie Lennox;Dave Stewart</t>
  </si>
  <si>
    <t>Gordon Mills;Engelbert Humperdinck</t>
  </si>
  <si>
    <t>Days Of Wine And Roses, Moon River And Other Academy Award Winners</t>
  </si>
  <si>
    <t>HIStory - PAST, PRESENT AND FUTURE - BOOK I</t>
  </si>
  <si>
    <t>Big, Bigger, Biggest! The Best Of Mr. Big</t>
  </si>
  <si>
    <t>Mark Ronson;Amy Winehouse</t>
  </si>
  <si>
    <t>Bigger, Better, Faster, More !</t>
  </si>
  <si>
    <t>Whenever, Wherever</t>
  </si>
  <si>
    <t>7sCHy8QQUz3CRvUMp53Cbm</t>
  </si>
  <si>
    <t>Harvest Moon</t>
  </si>
  <si>
    <t>2025-09-22T04:46:04Z</t>
  </si>
  <si>
    <t>4NnWuGQujzWUEg0uZokO5M</t>
  </si>
  <si>
    <t>Just Like Heaven</t>
  </si>
  <si>
    <t>The Cure</t>
  </si>
  <si>
    <t>2025-09-22T04:46:14Z</t>
  </si>
  <si>
    <t>new wave,post-punk,gothic rock,darkwave</t>
  </si>
  <si>
    <t>Cure</t>
  </si>
  <si>
    <t>soundtrack,score</t>
  </si>
  <si>
    <t>blues,roots rock,blues rock</t>
  </si>
  <si>
    <t>dansk pop</t>
  </si>
  <si>
    <t>vocal jazz,smooth jazz,jazz pop</t>
  </si>
  <si>
    <t>classical crossover,opera</t>
  </si>
  <si>
    <t>folk,folk rock,singer-songwriter</t>
  </si>
  <si>
    <t>samba,seresta,classical,chamber music,brazilian jazz,bossa nova,latin jazz,afro-cuban jazz,big band,jazz</t>
  </si>
  <si>
    <t>indie folk,folk,newgrass,americana,bluegrass,alt country,folk rock</t>
  </si>
  <si>
    <t>jazz pop</t>
  </si>
  <si>
    <t>folk rock,folk,singer-songwriter,roots rock</t>
  </si>
  <si>
    <t>yacht rock,classic rock,soft rock</t>
  </si>
  <si>
    <t>6dGnYIeXmHdcikdzNNDMm2</t>
  </si>
  <si>
    <t>Here Comes The Sun - Remastered 2009</t>
  </si>
  <si>
    <t>Abbey Road (Remastered)</t>
  </si>
  <si>
    <t>2026-05-11T03:48:28Z</t>
  </si>
  <si>
    <t>Just Like Heaven - Remastered 2006</t>
  </si>
  <si>
    <t>Kiss Me Kiss Me Kiss Me (Remastered 2006)</t>
  </si>
  <si>
    <t>french jazz,vocal jazz,jazz,jazz pop,brazilian jazz</t>
  </si>
  <si>
    <t>jazz,swing music,vocal jazz,big band</t>
  </si>
  <si>
    <t>art rock,soft rock</t>
  </si>
  <si>
    <t>progressive rock,art rock,baroque pop,psychedelic rock,blues</t>
  </si>
  <si>
    <t>2026-05-11T03:49:55Z</t>
  </si>
  <si>
    <t>The Best of B.J. Thomas (Rerecorded)</t>
  </si>
  <si>
    <t>Dave Brubeck;The Dave Brubeck Quartet</t>
  </si>
  <si>
    <t>bossa nova,jazz,brazilian jazz,cool jazz,latin jazz,jazz ballads</t>
  </si>
  <si>
    <t>43vXr8p0npNgpINqlJBW1Y</t>
  </si>
  <si>
    <t>Til You're Home - Acoustic Mix</t>
  </si>
  <si>
    <t>A Man Called Otto (Original Motion Picture Soundtrack)</t>
  </si>
  <si>
    <t>David Hodges</t>
  </si>
  <si>
    <t>2026-05-11T03:52:57Z</t>
  </si>
  <si>
    <t>Alan Menken;Howard Ashman;Samuel E. Wright;Disney</t>
  </si>
  <si>
    <t>Here Comes The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</si>
</sst>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:ss"/>
    <numFmt numFmtId="165" formatCode="[h]:mm"/>
  </numFmts>
  <fonts count="31" x14ac:knownFonts="1">
    <font>
      <sz val="10"/>
      <color rgb="FF000000"/>
      <name val="Arial"/>
      <family val="2"/>
      <charset val="1"/>
    </font>
    <font>
      <sz val="10"/>
      <color rgb="FF000000"/>
      <name val="Narkisim"/>
      <family val="2"/>
      <charset val="177"/>
    </font>
    <font>
      <u/>
      <sz val="10"/>
      <name val="Narkisim"/>
      <family val="2"/>
      <charset val="177"/>
    </font>
    <font>
      <b/>
      <sz val="10"/>
      <name val="Narkisim"/>
      <family val="2"/>
      <charset val="177"/>
    </font>
    <font>
      <b/>
      <u/>
      <sz val="10"/>
      <name val="Narkisim"/>
      <family val="2"/>
      <charset val="177"/>
    </font>
    <font>
      <sz val="10"/>
      <name val="Narkisim"/>
      <family val="2"/>
      <charset val="177"/>
    </font>
    <font>
      <u/>
      <sz val="10"/>
      <color rgb="FF000000"/>
      <name val="Narkisim"/>
      <family val="2"/>
      <charset val="177"/>
    </font>
    <font>
      <u/>
      <sz val="10"/>
      <color rgb="FF0000FF"/>
      <name val="Narkisim"/>
      <family val="2"/>
      <charset val="177"/>
    </font>
    <font>
      <sz val="10"/>
      <color rgb="FF000000"/>
      <name val="Narkisim"/>
      <family val="2"/>
      <charset val="1"/>
    </font>
    <font>
      <sz val="10"/>
      <name val="Narkisim"/>
      <family val="2"/>
      <charset val="1"/>
    </font>
    <font>
      <b/>
      <sz val="10"/>
      <name val="Narkisim"/>
      <family val="2"/>
      <charset val="1"/>
    </font>
    <font>
      <u/>
      <sz val="10"/>
      <color rgb="FF0000FF"/>
      <name val="Narkisim"/>
      <family val="2"/>
      <charset val="1"/>
    </font>
    <font>
      <sz val="10"/>
      <name val="Verdana"/>
      <family val="2"/>
      <charset val="1"/>
    </font>
    <font>
      <sz val="10"/>
      <color rgb="FF000000"/>
      <name val="Verdana"/>
      <family val="2"/>
      <charset val="1"/>
    </font>
    <font>
      <b/>
      <sz val="10"/>
      <color rgb="FF000000"/>
      <name val="Narkisim"/>
      <family val="2"/>
      <charset val="177"/>
    </font>
    <font>
      <b/>
      <sz val="10"/>
      <color rgb="FF000000"/>
      <name val="Georgia"/>
      <family val="1"/>
      <charset val="1"/>
    </font>
    <font>
      <sz val="10"/>
      <color rgb="FF000000"/>
      <name val="Georgia"/>
      <family val="1"/>
      <charset val="1"/>
    </font>
    <font>
      <b/>
      <sz val="10"/>
      <name val="Georgia"/>
      <family val="1"/>
      <charset val="1"/>
    </font>
    <font>
      <sz val="10"/>
      <name val="Georgia"/>
      <family val="1"/>
      <charset val="1"/>
    </font>
    <font>
      <b/>
      <sz val="10"/>
      <name val="Book Antiqua"/>
      <family val="1"/>
    </font>
    <font>
      <b/>
      <u/>
      <sz val="10"/>
      <name val="Book Antiqua"/>
      <family val="1"/>
    </font>
    <font>
      <sz val="10"/>
      <name val="Book Antiqua"/>
      <family val="1"/>
    </font>
    <font>
      <sz val="10"/>
      <color rgb="FF000000"/>
      <name val="Book Antiqua"/>
      <family val="1"/>
    </font>
    <font>
      <u/>
      <sz val="10"/>
      <name val="Book Antiqua"/>
      <family val="1"/>
    </font>
    <font>
      <u/>
      <sz val="10"/>
      <color rgb="FF0000FF"/>
      <name val="Book Antiqua"/>
      <family val="1"/>
    </font>
    <font>
      <b/>
      <sz val="10"/>
      <color rgb="FF000000"/>
      <name val="Book Antiqua"/>
      <family val="1"/>
    </font>
    <font>
      <b/>
      <sz val="10"/>
      <color rgb="FF0000FF"/>
      <name val="Book Antiqua"/>
      <family val="1"/>
    </font>
    <font>
      <sz val="10"/>
      <color rgb="FF0000FF"/>
      <name val="Book Antiqua"/>
      <family val="1"/>
    </font>
    <font>
      <b/>
      <sz val="10"/>
      <color rgb="FF000000"/>
      <name val="Georgia"/>
      <family val="1"/>
    </font>
    <font>
      <sz val="8"/>
      <name val="Arial"/>
      <family val="2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>
      <alignment vertical="center"/>
    </xf>
  </cellStyleXfs>
  <cellXfs count="115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/>
    <xf numFmtId="0" fontId="3" fillId="0" borderId="1" xfId="0" applyFont="1" applyBorder="1"/>
    <xf numFmtId="0" fontId="3" fillId="0" borderId="2" xfId="0" applyFont="1" applyBorder="1"/>
    <xf numFmtId="49" fontId="4" fillId="0" borderId="2" xfId="0" applyNumberFormat="1" applyFont="1" applyBorder="1"/>
    <xf numFmtId="0" fontId="3" fillId="0" borderId="2" xfId="0" applyFont="1" applyBorder="1" applyAlignment="1">
      <alignment horizontal="left"/>
    </xf>
    <xf numFmtId="49" fontId="3" fillId="0" borderId="2" xfId="0" applyNumberFormat="1" applyFont="1" applyBorder="1"/>
    <xf numFmtId="0" fontId="5" fillId="0" borderId="0" xfId="0" applyFont="1"/>
    <xf numFmtId="0" fontId="3" fillId="0" borderId="0" xfId="0" applyFont="1"/>
    <xf numFmtId="49" fontId="4" fillId="0" borderId="0" xfId="0" applyNumberFormat="1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49" fontId="6" fillId="0" borderId="0" xfId="0" applyNumberFormat="1" applyFont="1"/>
    <xf numFmtId="49" fontId="7" fillId="0" borderId="0" xfId="1" applyNumberFormat="1" applyFont="1" applyAlignment="1">
      <alignment vertical="center"/>
    </xf>
    <xf numFmtId="0" fontId="5" fillId="0" borderId="0" xfId="0" applyFont="1" applyAlignment="1">
      <alignment horizontal="left"/>
    </xf>
    <xf numFmtId="49" fontId="7" fillId="0" borderId="0" xfId="1" applyNumberFormat="1" applyFo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9" fontId="23" fillId="0" borderId="0" xfId="1" applyNumberForma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7" fillId="0" borderId="0" xfId="1" applyFont="1">
      <alignment vertical="center"/>
    </xf>
    <xf numFmtId="0" fontId="14" fillId="0" borderId="0" xfId="0" applyFont="1"/>
    <xf numFmtId="49" fontId="11" fillId="0" borderId="0" xfId="1" applyNumberFormat="1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164" fontId="16" fillId="0" borderId="0" xfId="0" applyNumberFormat="1" applyFont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/>
    </xf>
    <xf numFmtId="45" fontId="17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64" fontId="17" fillId="0" borderId="0" xfId="0" applyNumberFormat="1" applyFont="1"/>
    <xf numFmtId="45" fontId="17" fillId="0" borderId="0" xfId="0" applyNumberFormat="1" applyFont="1"/>
    <xf numFmtId="0" fontId="18" fillId="0" borderId="0" xfId="0" applyFont="1"/>
    <xf numFmtId="45" fontId="18" fillId="0" borderId="0" xfId="0" applyNumberFormat="1" applyFont="1"/>
    <xf numFmtId="0" fontId="19" fillId="0" borderId="1" xfId="0" applyFont="1" applyBorder="1"/>
    <xf numFmtId="0" fontId="19" fillId="0" borderId="2" xfId="0" applyFont="1" applyBorder="1"/>
    <xf numFmtId="49" fontId="20" fillId="0" borderId="2" xfId="0" applyNumberFormat="1" applyFont="1" applyBorder="1"/>
    <xf numFmtId="0" fontId="19" fillId="0" borderId="2" xfId="0" applyFont="1" applyBorder="1" applyAlignment="1">
      <alignment horizontal="left"/>
    </xf>
    <xf numFmtId="49" fontId="19" fillId="0" borderId="2" xfId="0" applyNumberFormat="1" applyFont="1" applyBorder="1"/>
    <xf numFmtId="0" fontId="21" fillId="0" borderId="0" xfId="0" applyFont="1"/>
    <xf numFmtId="0" fontId="22" fillId="0" borderId="0" xfId="0" applyFont="1"/>
    <xf numFmtId="0" fontId="19" fillId="0" borderId="0" xfId="0" applyFont="1"/>
    <xf numFmtId="49" fontId="20" fillId="0" borderId="0" xfId="0" applyNumberFormat="1" applyFont="1"/>
    <xf numFmtId="0" fontId="19" fillId="0" borderId="0" xfId="0" applyFont="1" applyAlignment="1">
      <alignment horizontal="left"/>
    </xf>
    <xf numFmtId="49" fontId="23" fillId="0" borderId="0" xfId="0" applyNumberFormat="1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49" fontId="24" fillId="0" borderId="0" xfId="1" applyNumberFormat="1" applyFont="1" applyAlignment="1">
      <alignment vertical="center"/>
    </xf>
    <xf numFmtId="0" fontId="21" fillId="0" borderId="0" xfId="0" applyFont="1" applyAlignment="1">
      <alignment horizontal="left"/>
    </xf>
    <xf numFmtId="49" fontId="24" fillId="0" borderId="0" xfId="1" applyNumberFormat="1" applyFont="1">
      <alignment vertical="center"/>
    </xf>
    <xf numFmtId="0" fontId="19" fillId="0" borderId="0" xfId="0" applyFont="1" applyAlignment="1">
      <alignment vertical="center"/>
    </xf>
    <xf numFmtId="0" fontId="24" fillId="0" borderId="0" xfId="1" applyFo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5" fillId="0" borderId="0" xfId="0" applyFont="1"/>
    <xf numFmtId="0" fontId="22" fillId="0" borderId="0" xfId="0" applyFont="1" applyAlignment="1">
      <alignment horizontal="left"/>
    </xf>
    <xf numFmtId="0" fontId="23" fillId="0" borderId="0" xfId="1">
      <alignment vertical="center"/>
    </xf>
    <xf numFmtId="0" fontId="19" fillId="0" borderId="0" xfId="0" applyFont="1" applyAlignment="1">
      <alignment horizontal="center"/>
    </xf>
    <xf numFmtId="164" fontId="21" fillId="0" borderId="0" xfId="0" applyNumberFormat="1" applyFont="1"/>
    <xf numFmtId="0" fontId="21" fillId="0" borderId="0" xfId="1" applyFont="1">
      <alignment vertical="center"/>
    </xf>
    <xf numFmtId="49" fontId="24" fillId="0" borderId="0" xfId="1" applyNumberFormat="1" applyFont="1" applyBorder="1" applyAlignment="1">
      <alignment vertical="center"/>
    </xf>
    <xf numFmtId="49" fontId="26" fillId="0" borderId="0" xfId="0" applyNumberFormat="1" applyFont="1"/>
    <xf numFmtId="49" fontId="27" fillId="0" borderId="0" xfId="0" applyNumberFormat="1" applyFont="1"/>
    <xf numFmtId="49" fontId="24" fillId="0" borderId="0" xfId="1" applyNumberFormat="1" applyFont="1" applyBorder="1" applyAlignment="1">
      <alignment horizontal="left"/>
    </xf>
    <xf numFmtId="49" fontId="24" fillId="0" borderId="0" xfId="1" applyNumberFormat="1" applyFont="1" applyBorder="1">
      <alignment vertical="center"/>
    </xf>
    <xf numFmtId="1" fontId="17" fillId="0" borderId="0" xfId="0" applyNumberFormat="1" applyFont="1" applyAlignment="1">
      <alignment horizontal="left"/>
    </xf>
    <xf numFmtId="1" fontId="21" fillId="0" borderId="0" xfId="0" applyNumberFormat="1" applyFont="1" applyAlignment="1">
      <alignment horizontal="left"/>
    </xf>
    <xf numFmtId="1" fontId="21" fillId="0" borderId="0" xfId="0" applyNumberFormat="1" applyFont="1"/>
    <xf numFmtId="1" fontId="16" fillId="0" borderId="0" xfId="0" applyNumberFormat="1" applyFont="1"/>
    <xf numFmtId="0" fontId="28" fillId="0" borderId="0" xfId="0" applyFont="1"/>
    <xf numFmtId="14" fontId="0" fillId="0" borderId="0" xfId="0" applyNumberFormat="1"/>
    <xf numFmtId="0" fontId="30" fillId="0" borderId="0" xfId="0" applyFont="1"/>
    <xf numFmtId="49" fontId="23" fillId="0" borderId="4" xfId="1" applyNumberFormat="1" applyFill="1" applyBorder="1" applyAlignment="1">
      <alignment vertical="center"/>
    </xf>
    <xf numFmtId="0" fontId="19" fillId="0" borderId="3" xfId="0" applyFont="1" applyBorder="1"/>
    <xf numFmtId="0" fontId="21" fillId="0" borderId="3" xfId="0" applyFont="1" applyBorder="1"/>
    <xf numFmtId="49" fontId="24" fillId="0" borderId="4" xfId="1" applyNumberFormat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1" fillId="0" borderId="3" xfId="0" applyFont="1" applyBorder="1" applyAlignment="1">
      <alignment horizontal="left" vertical="center"/>
    </xf>
    <xf numFmtId="14" fontId="22" fillId="0" borderId="0" xfId="0" applyNumberFormat="1" applyFont="1"/>
    <xf numFmtId="0" fontId="19" fillId="0" borderId="4" xfId="0" applyFont="1" applyBorder="1"/>
    <xf numFmtId="0" fontId="21" fillId="0" borderId="4" xfId="0" applyFont="1" applyBorder="1"/>
    <xf numFmtId="49" fontId="24" fillId="0" borderId="4" xfId="1" applyNumberFormat="1" applyFont="1" applyFill="1" applyBorder="1">
      <alignment vertical="center"/>
    </xf>
    <xf numFmtId="0" fontId="21" fillId="0" borderId="4" xfId="0" applyFont="1" applyBorder="1" applyAlignment="1">
      <alignment horizontal="left"/>
    </xf>
    <xf numFmtId="0" fontId="21" fillId="0" borderId="4" xfId="0" applyFont="1" applyBorder="1" applyAlignment="1">
      <alignment vertical="center"/>
    </xf>
    <xf numFmtId="0" fontId="21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24" fillId="0" borderId="4" xfId="1" applyFont="1" applyFill="1" applyBorder="1">
      <alignment vertical="center"/>
    </xf>
    <xf numFmtId="0" fontId="22" fillId="0" borderId="4" xfId="0" applyFont="1" applyBorder="1"/>
    <xf numFmtId="0" fontId="25" fillId="0" borderId="4" xfId="0" applyFont="1" applyBorder="1"/>
    <xf numFmtId="0" fontId="22" fillId="0" borderId="4" xfId="0" applyFont="1" applyBorder="1" applyAlignment="1">
      <alignment horizontal="left"/>
    </xf>
    <xf numFmtId="0" fontId="22" fillId="0" borderId="3" xfId="0" applyFont="1" applyBorder="1"/>
    <xf numFmtId="0" fontId="22" fillId="0" borderId="4" xfId="0" applyFont="1" applyBorder="1" applyAlignment="1">
      <alignment vertical="center"/>
    </xf>
    <xf numFmtId="0" fontId="22" fillId="0" borderId="4" xfId="0" applyFont="1" applyBorder="1" applyAlignment="1">
      <alignment horizontal="left" vertical="center"/>
    </xf>
    <xf numFmtId="0" fontId="19" fillId="0" borderId="5" xfId="0" applyFont="1" applyBorder="1"/>
    <xf numFmtId="0" fontId="21" fillId="0" borderId="5" xfId="0" applyFont="1" applyBorder="1"/>
    <xf numFmtId="49" fontId="24" fillId="0" borderId="5" xfId="1" applyNumberFormat="1" applyFont="1" applyFill="1" applyBorder="1">
      <alignment vertical="center"/>
    </xf>
    <xf numFmtId="0" fontId="21" fillId="0" borderId="5" xfId="0" applyFont="1" applyBorder="1" applyAlignment="1">
      <alignment horizontal="left"/>
    </xf>
    <xf numFmtId="0" fontId="19" fillId="0" borderId="5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49" fontId="24" fillId="0" borderId="5" xfId="1" applyNumberFormat="1" applyFont="1" applyFill="1" applyBorder="1" applyAlignment="1">
      <alignment vertical="center"/>
    </xf>
    <xf numFmtId="0" fontId="21" fillId="0" borderId="5" xfId="0" applyFont="1" applyBorder="1" applyAlignment="1">
      <alignment horizontal="left" vertical="center"/>
    </xf>
  </cellXfs>
  <cellStyles count="2">
    <cellStyle name="Hyperlink" xfId="1" builtinId="8" customBuiltin="1"/>
    <cellStyle name="Normal" xfId="0" builtinId="0"/>
  </cellStyles>
  <dxfs count="2">
    <dxf>
      <fill>
        <patternFill>
          <bgColor theme="1" tint="0.49998474074526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44546A"/>
      </a:hlink>
      <a:folHlink>
        <a:srgbClr val="44546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AppData/Roaming/Microsoft/Excel/Contemporary/Stevie%20Wonder/Part-Time%20Lover.txt" TargetMode="External"/><Relationship Id="rId299" Type="http://schemas.openxmlformats.org/officeDocument/2006/relationships/hyperlink" Target="../../../AppData/Roaming/Microsoft/Excel/Contemporary/Phil%20Collins/Another%20Day%20In%20Paradise.txt" TargetMode="External"/><Relationship Id="rId21" Type="http://schemas.openxmlformats.org/officeDocument/2006/relationships/hyperlink" Target="../../../AppData/Roaming/Microsoft/Excel/Contemporary/Barry%20Manilow/Can't%20Smile%20Without%20You.txt" TargetMode="External"/><Relationship Id="rId63" Type="http://schemas.openxmlformats.org/officeDocument/2006/relationships/hyperlink" Target="../../../AppData/Roaming/Microsoft/Excel/Contemporary/Frank%20Sinatra/Got%20You%20Under%20My%20Skin.txt" TargetMode="External"/><Relationship Id="rId159" Type="http://schemas.openxmlformats.org/officeDocument/2006/relationships/hyperlink" Target="../../../AppData/Roaming/Microsoft/Excel/Contemporary/Jim%20Croce/Time%20In%20A%20Bottle.txt" TargetMode="External"/><Relationship Id="rId324" Type="http://schemas.openxmlformats.org/officeDocument/2006/relationships/hyperlink" Target="../../../AppData/Roaming/Microsoft/Excel/Contemporary/The%20Drifters/This%20Magic%20Moment.txt" TargetMode="External"/><Relationship Id="rId170" Type="http://schemas.openxmlformats.org/officeDocument/2006/relationships/hyperlink" Target="../../../AppData/Roaming/Microsoft/Excel/Contemporary/Green%20Day/Wake%20Me%20Up%20When%20September%20Ends.txt" TargetMode="External"/><Relationship Id="rId226" Type="http://schemas.openxmlformats.org/officeDocument/2006/relationships/hyperlink" Target="../../../AppData/Roaming/Microsoft/Excel/Contemporary/Coldplay/Green%20Eyes.txt" TargetMode="External"/><Relationship Id="rId268" Type="http://schemas.openxmlformats.org/officeDocument/2006/relationships/hyperlink" Target="../../../AppData/Roaming/Microsoft/Excel/Contemporary/Ed%20Sheeran/Perfect.txt" TargetMode="External"/><Relationship Id="rId32" Type="http://schemas.openxmlformats.org/officeDocument/2006/relationships/hyperlink" Target="../../../AppData/Roaming/Microsoft/Excel/Contemporary/Olly%20Murs/Dance%20With%20Me%20Tonight.txt" TargetMode="External"/><Relationship Id="rId74" Type="http://schemas.openxmlformats.org/officeDocument/2006/relationships/hyperlink" Target="../../../AppData/Roaming/Microsoft/Excel/Contemporary/Train/Hey%20Soul%20Sister.txt" TargetMode="External"/><Relationship Id="rId128" Type="http://schemas.openxmlformats.org/officeDocument/2006/relationships/hyperlink" Target="../../../AppData/Roaming/Microsoft/Excel/Contemporary/Red%20Hot%20Chili%20Peppers/Snow%20(Hey%20Oh).txt" TargetMode="External"/><Relationship Id="rId5" Type="http://schemas.openxmlformats.org/officeDocument/2006/relationships/hyperlink" Target="../../../AppData/Roaming/Microsoft/Excel/Contemporary/Michael%20Franks/Antonio's%20Song.txt" TargetMode="External"/><Relationship Id="rId181" Type="http://schemas.openxmlformats.org/officeDocument/2006/relationships/hyperlink" Target="../../../AppData/Roaming/Microsoft/Excel/Contemporary/The%20Beatles/Yesterday.txt" TargetMode="External"/><Relationship Id="rId237" Type="http://schemas.openxmlformats.org/officeDocument/2006/relationships/hyperlink" Target="../../../AppData/Roaming/Microsoft/Excel/Contemporary/ABBA/Thank%20You%20For%20The%20Music.txt" TargetMode="External"/><Relationship Id="rId279" Type="http://schemas.openxmlformats.org/officeDocument/2006/relationships/hyperlink" Target="../../../AppData/Roaming/Microsoft/Excel/Contemporary/Bryan%20Adams/Heaven.txt" TargetMode="External"/><Relationship Id="rId43" Type="http://schemas.openxmlformats.org/officeDocument/2006/relationships/hyperlink" Target="../../../AppData/Roaming/Microsoft/Excel/Contemporary/Various/Dream%20A%20Little%20Dream%20Of%20Me.txt" TargetMode="External"/><Relationship Id="rId139" Type="http://schemas.openxmlformats.org/officeDocument/2006/relationships/hyperlink" Target="../../../AppData/Roaming/Microsoft/Excel/Contemporary/Guns%20n%20Roses/Sweet%20Child%20Of%20Mine.txt" TargetMode="External"/><Relationship Id="rId290" Type="http://schemas.openxmlformats.org/officeDocument/2006/relationships/hyperlink" Target="../../../AppData/Roaming/Microsoft/Excel/Contemporary/Bruno%20Mars/Just%20The%20Way%20You%20Are.txt" TargetMode="External"/><Relationship Id="rId304" Type="http://schemas.openxmlformats.org/officeDocument/2006/relationships/hyperlink" Target="../../../AppData/Roaming/Microsoft/Excel/Contemporary/Taylor%20Swift/Love%20Story.txt" TargetMode="External"/><Relationship Id="rId85" Type="http://schemas.openxmlformats.org/officeDocument/2006/relationships/hyperlink" Target="../../../AppData/Roaming/Microsoft/Excel/Contemporary/P!nk/Just%20Give%20Me%20A%20Reason.txt" TargetMode="External"/><Relationship Id="rId150" Type="http://schemas.openxmlformats.org/officeDocument/2006/relationships/hyperlink" Target="../../../AppData/Roaming/Microsoft/Excel/Contemporary/Coldplay/The%20Scientist.txt" TargetMode="External"/><Relationship Id="rId192" Type="http://schemas.openxmlformats.org/officeDocument/2006/relationships/hyperlink" Target="../../../AppData/Roaming/Microsoft/Excel/Contemporary/Red%20Hot%20Chili%20Peppers/Under%20The%20Bridge.txt" TargetMode="External"/><Relationship Id="rId206" Type="http://schemas.openxmlformats.org/officeDocument/2006/relationships/hyperlink" Target="../../../AppData/Roaming/Microsoft/Excel/Contemporary/LP/Lost%20On%20You.txt" TargetMode="External"/><Relationship Id="rId248" Type="http://schemas.openxmlformats.org/officeDocument/2006/relationships/hyperlink" Target="../../../AppData/Roaming/Microsoft/Excel/Contemporary/Michael%20Buble/Everything.txt" TargetMode="External"/><Relationship Id="rId12" Type="http://schemas.openxmlformats.org/officeDocument/2006/relationships/hyperlink" Target="../../../AppData/Roaming/Microsoft/Excel/Contemporary/The%20Beatles/Blackbird.txt" TargetMode="External"/><Relationship Id="rId108" Type="http://schemas.openxmlformats.org/officeDocument/2006/relationships/hyperlink" Target="../../../AppData/Roaming/Microsoft/Excel/Contemporary/Extreme/More%20Than%20Words.txt" TargetMode="External"/><Relationship Id="rId315" Type="http://schemas.openxmlformats.org/officeDocument/2006/relationships/hyperlink" Target="../../../AppData/Roaming/Microsoft/Excel/Contemporary/Goo%20Goo%20Dolls/Iris.txt" TargetMode="External"/><Relationship Id="rId54" Type="http://schemas.openxmlformats.org/officeDocument/2006/relationships/hyperlink" Target="../../../AppData/Roaming/Microsoft/Excel/Contemporary/Peter,%20Paul,%20and%20Mary/Five%20Hundred%20Miles.txt" TargetMode="External"/><Relationship Id="rId96" Type="http://schemas.openxmlformats.org/officeDocument/2006/relationships/hyperlink" Target="../../../AppData/Roaming/Microsoft/Excel/Contemporary/Doobie%20Brothers/Long%20Train%20Running.txt" TargetMode="External"/><Relationship Id="rId161" Type="http://schemas.openxmlformats.org/officeDocument/2006/relationships/hyperlink" Target="../../../AppData/Roaming/Microsoft/Excel/Contemporary/Mr%20Big/To%20Be%20With%20You.txt" TargetMode="External"/><Relationship Id="rId217" Type="http://schemas.openxmlformats.org/officeDocument/2006/relationships/hyperlink" Target="../../../AppData/Roaming/Microsoft/Excel/Contemporary/The%20Eagles/Hotel%20California.txt" TargetMode="External"/><Relationship Id="rId259" Type="http://schemas.openxmlformats.org/officeDocument/2006/relationships/hyperlink" Target="../../../AppData/Roaming/Microsoft/Excel/Contemporary/The%20Beatles/Til%20There%20Was%20You.txt" TargetMode="External"/><Relationship Id="rId23" Type="http://schemas.openxmlformats.org/officeDocument/2006/relationships/hyperlink" Target="../../../AppData/Roaming/Microsoft/Excel/Contemporary/James%20Blunt/Carry%20You%20Home.txt" TargetMode="External"/><Relationship Id="rId119" Type="http://schemas.openxmlformats.org/officeDocument/2006/relationships/hyperlink" Target="../../../AppData/Roaming/Microsoft/Excel/Contemporary/Billy%20Joel/Piano%20Man.txt" TargetMode="External"/><Relationship Id="rId270" Type="http://schemas.openxmlformats.org/officeDocument/2006/relationships/hyperlink" Target="../../../AppData/Roaming/Microsoft/Excel/Contemporary/Elvis%20Presley/Can't%20Help%20Falling%20In%20Love.txt" TargetMode="External"/><Relationship Id="rId326" Type="http://schemas.openxmlformats.org/officeDocument/2006/relationships/hyperlink" Target="../../../AppData/Roaming/Microsoft/Excel/Contemporary/Don%20Mclean/Vincent.txt" TargetMode="External"/><Relationship Id="rId65" Type="http://schemas.openxmlformats.org/officeDocument/2006/relationships/hyperlink" Target="../../../AppData/Roaming/Microsoft/Excel/Contemporary/Bread/The%20Guitar%20Man.txt" TargetMode="External"/><Relationship Id="rId130" Type="http://schemas.openxmlformats.org/officeDocument/2006/relationships/hyperlink" Target="../../../AppData/Roaming/Microsoft/Excel/Contemporary/Nickel%20Creek/Spit%20On%20A%20Stranger.txt" TargetMode="External"/><Relationship Id="rId172" Type="http://schemas.openxmlformats.org/officeDocument/2006/relationships/hyperlink" Target="../../../AppData/Roaming/Microsoft/Excel/Contemporary/4%20Non%20Blondes/What's%20Up.txt" TargetMode="External"/><Relationship Id="rId228" Type="http://schemas.openxmlformats.org/officeDocument/2006/relationships/hyperlink" Target="../../../AppData/Roaming/Microsoft/Excel/Contemporary/Ricky%20Martin/She%20Bangs.txt" TargetMode="External"/><Relationship Id="rId281" Type="http://schemas.openxmlformats.org/officeDocument/2006/relationships/hyperlink" Target="../../../AppData/Roaming/Microsoft/Excel/Contemporary/The%20Carpenters/Sweet%20Sweet%20Smile.txt" TargetMode="External"/><Relationship Id="rId34" Type="http://schemas.openxmlformats.org/officeDocument/2006/relationships/hyperlink" Target="../../../AppData/Roaming/Microsoft/Excel/Contemporary/ABBA/Dancing%20Queen.txt" TargetMode="External"/><Relationship Id="rId76" Type="http://schemas.openxmlformats.org/officeDocument/2006/relationships/hyperlink" Target="../../../AppData/Roaming/Microsoft/Excel/Contemporary/The%20Beatles/I%20Saw%20Her%20Standing%20There.txt" TargetMode="External"/><Relationship Id="rId141" Type="http://schemas.openxmlformats.org/officeDocument/2006/relationships/hyperlink" Target="../../../AppData/Roaming/Microsoft/Excel/Contemporary/Hozier/Take%20Me%20To%20Church.txt" TargetMode="External"/><Relationship Id="rId7" Type="http://schemas.openxmlformats.org/officeDocument/2006/relationships/hyperlink" Target="../../../AppData/Roaming/Microsoft/Excel/Contemporary/Britney%20Spears/Baby%20One%20More%20Time.txt" TargetMode="External"/><Relationship Id="rId183" Type="http://schemas.openxmlformats.org/officeDocument/2006/relationships/hyperlink" Target="../../../AppData/Roaming/Microsoft/Excel/Contemporary/Bryan%20Adams/You%20Belong%20To%20Me.txt" TargetMode="External"/><Relationship Id="rId239" Type="http://schemas.openxmlformats.org/officeDocument/2006/relationships/hyperlink" Target="../../../AppData/Roaming/Microsoft/Excel/Contemporary/Neil%20Sedaka/Calendar%20Girl.txt" TargetMode="External"/><Relationship Id="rId250" Type="http://schemas.openxmlformats.org/officeDocument/2006/relationships/hyperlink" Target="../../../AppData/Roaming/Microsoft/Excel/Contemporary/Survivor/Eye%20Of%20The%20Tiger.txt" TargetMode="External"/><Relationship Id="rId292" Type="http://schemas.openxmlformats.org/officeDocument/2006/relationships/hyperlink" Target="../../../AppData/Roaming/Microsoft/Excel/Contemporary/Blue/One%20Love.txt" TargetMode="External"/><Relationship Id="rId306" Type="http://schemas.openxmlformats.org/officeDocument/2006/relationships/hyperlink" Target="../../../AppData/Roaming/Microsoft/Excel/Contemporary/Coldplay/A%20Sky%20Full%20Of%20Stars.txt" TargetMode="External"/><Relationship Id="rId24" Type="http://schemas.openxmlformats.org/officeDocument/2006/relationships/hyperlink" Target="../../../AppData/Roaming/Microsoft/Excel/Contemporary/Matt%20Simons/Catch%20and%20Release.txt" TargetMode="External"/><Relationship Id="rId45" Type="http://schemas.openxmlformats.org/officeDocument/2006/relationships/hyperlink" Target="../../../AppData/Roaming/Microsoft/Excel/Contemporary/Kansas/Dust%20in%20the%20Wind.txt" TargetMode="External"/><Relationship Id="rId66" Type="http://schemas.openxmlformats.org/officeDocument/2006/relationships/hyperlink" Target="../../../AppData/Roaming/Microsoft/Excel/Contemporary/Jeff%20Buckley/Hallelujah.txt" TargetMode="External"/><Relationship Id="rId87" Type="http://schemas.openxmlformats.org/officeDocument/2006/relationships/hyperlink" Target="../../../AppData/Roaming/Microsoft/Excel/Contemporary/Lori%20Lieberman/Killing%20Me%20Softly.txt" TargetMode="External"/><Relationship Id="rId110" Type="http://schemas.openxmlformats.org/officeDocument/2006/relationships/hyperlink" Target="../../../AppData/Roaming/Microsoft/Excel/Contemporary/Westlife/My%20Love.txt" TargetMode="External"/><Relationship Id="rId131" Type="http://schemas.openxmlformats.org/officeDocument/2006/relationships/hyperlink" Target="../../../AppData/Roaming/Microsoft/Excel/Contemporary/Ben%20E%20King/Stand%20By%20Me.txt" TargetMode="External"/><Relationship Id="rId327" Type="http://schemas.openxmlformats.org/officeDocument/2006/relationships/hyperlink" Target="../../../AppData/Roaming/Microsoft/Excel/Contemporary/The%20Drifters/This%20Magic%20Moment.txt" TargetMode="External"/><Relationship Id="rId152" Type="http://schemas.openxmlformats.org/officeDocument/2006/relationships/hyperlink" Target="../../../AppData/Roaming/Microsoft/Excel/Contemporary/Bob%20Dylan/The%20Times%20They%20Are%20A-Changin'.txt" TargetMode="External"/><Relationship Id="rId173" Type="http://schemas.openxmlformats.org/officeDocument/2006/relationships/hyperlink" Target="../../../AppData/Roaming/Microsoft/Excel/Contemporary/The%20Killers/When%20You%20Were%20Young.txt" TargetMode="External"/><Relationship Id="rId194" Type="http://schemas.openxmlformats.org/officeDocument/2006/relationships/hyperlink" Target="../../../AppData/Roaming/Microsoft/Excel/Contemporary/The%20Weeknd/Blinding%20Lights.txt" TargetMode="External"/><Relationship Id="rId208" Type="http://schemas.openxmlformats.org/officeDocument/2006/relationships/hyperlink" Target="../../../AppData/Roaming/Microsoft/Excel/Contemporary/Everly%20Brothers/All%20I%20Have%20To%20Do%20Is%20Dream.txt" TargetMode="External"/><Relationship Id="rId229" Type="http://schemas.openxmlformats.org/officeDocument/2006/relationships/hyperlink" Target="../../../AppData/Roaming/Microsoft/Excel/Contemporary/Noah%20Reid/Simply%20The%20Best.txt" TargetMode="External"/><Relationship Id="rId240" Type="http://schemas.openxmlformats.org/officeDocument/2006/relationships/hyperlink" Target="../../../AppData/Roaming/Microsoft/Excel/Contemporary/Dusty%20Springfield/Son%20of%20a%20Preacher%20Man.txt" TargetMode="External"/><Relationship Id="rId261" Type="http://schemas.openxmlformats.org/officeDocument/2006/relationships/hyperlink" Target="../../../AppData/Roaming/Microsoft/Excel/Contemporary/Roy%20Orbison/Pretty%20Woman.txt" TargetMode="External"/><Relationship Id="rId14" Type="http://schemas.openxmlformats.org/officeDocument/2006/relationships/hyperlink" Target="../../../AppData/Roaming/Microsoft/Excel/Contemporary/Various/Brasileirinho.txt" TargetMode="External"/><Relationship Id="rId35" Type="http://schemas.openxmlformats.org/officeDocument/2006/relationships/hyperlink" Target="../../../AppData/Roaming/Microsoft/Excel/Contemporary/John%20Mayer/Daughters.txt" TargetMode="External"/><Relationship Id="rId56" Type="http://schemas.openxmlformats.org/officeDocument/2006/relationships/hyperlink" Target="../../../AppData/Roaming/Microsoft/Excel/Contemporary/Frank%20Sinatra/Fly%20Me%20To%20The%20Moon.txt" TargetMode="External"/><Relationship Id="rId77" Type="http://schemas.openxmlformats.org/officeDocument/2006/relationships/hyperlink" Target="../../../AppData/Roaming/Microsoft/Excel/Contemporary/Death%20Cab%20for%20Cutie/I%20Will%20Follow%20You%20Into%20The%20Dark.txt" TargetMode="External"/><Relationship Id="rId100" Type="http://schemas.openxmlformats.org/officeDocument/2006/relationships/hyperlink" Target="../../../AppData/Roaming/Microsoft/Excel/Contemporary/Cliff%20Richard/Lucky%20Lips.txt" TargetMode="External"/><Relationship Id="rId282" Type="http://schemas.openxmlformats.org/officeDocument/2006/relationships/hyperlink" Target="../../../AppData/Roaming/Microsoft/Excel/Contemporary/The%20Verve/Bitter%20Sweet%20Symphony.txt" TargetMode="External"/><Relationship Id="rId317" Type="http://schemas.openxmlformats.org/officeDocument/2006/relationships/hyperlink" Target="../../../AppData/Roaming/Microsoft/Excel/Contemporary/Maroon%205/Moves%20Like%20Jagger.txt" TargetMode="External"/><Relationship Id="rId8" Type="http://schemas.openxmlformats.org/officeDocument/2006/relationships/hyperlink" Target="../../../AppData/Roaming/Microsoft/Excel/Contemporary/Imagine%20Dragons/Believer.txt" TargetMode="External"/><Relationship Id="rId98" Type="http://schemas.openxmlformats.org/officeDocument/2006/relationships/hyperlink" Target="../../../AppData/Roaming/Microsoft/Excel/Contemporary/Justin%20Bieber/Love%20Yourself.txt" TargetMode="External"/><Relationship Id="rId121" Type="http://schemas.openxmlformats.org/officeDocument/2006/relationships/hyperlink" Target="../../../AppData/Roaming/Microsoft/Excel/Contemporary/Johnny%20Cash/Ring%20Of%20Fire.txt" TargetMode="External"/><Relationship Id="rId142" Type="http://schemas.openxmlformats.org/officeDocument/2006/relationships/hyperlink" Target="../../../AppData/Roaming/Microsoft/Excel/Contemporary/Eric%20Clapton/Tears%20in%20Heaven.txt" TargetMode="External"/><Relationship Id="rId163" Type="http://schemas.openxmlformats.org/officeDocument/2006/relationships/hyperlink" Target="../../../AppData/Roaming/Microsoft/Excel/Contemporary/Various/Under%20The%20Sea.txt" TargetMode="External"/><Relationship Id="rId184" Type="http://schemas.openxmlformats.org/officeDocument/2006/relationships/hyperlink" Target="../../../AppData/Roaming/Microsoft/Excel/Contemporary/James%20Blunt/You're%20Beautiful.txt" TargetMode="External"/><Relationship Id="rId219" Type="http://schemas.openxmlformats.org/officeDocument/2006/relationships/hyperlink" Target="../../../AppData/Roaming/Microsoft/Excel/Contemporary/Jason%20Mraz/I'm%20Yours.txt" TargetMode="External"/><Relationship Id="rId230" Type="http://schemas.openxmlformats.org/officeDocument/2006/relationships/hyperlink" Target="../../../AppData/Roaming/Microsoft/Excel/Contemporary/ABBA/Chiquitita.txt" TargetMode="External"/><Relationship Id="rId251" Type="http://schemas.openxmlformats.org/officeDocument/2006/relationships/hyperlink" Target="../../../AppData/Roaming/Microsoft/Excel/Contemporary/Paul%20Simon/Fifty%20Ways%20to%20Leave%20Your%20Lover.txt" TargetMode="External"/><Relationship Id="rId25" Type="http://schemas.openxmlformats.org/officeDocument/2006/relationships/hyperlink" Target="../../../AppData/Roaming/Microsoft/Excel/Contemporary/Katy%20Perry/Chained%20To%20The%20Rhythm.txt" TargetMode="External"/><Relationship Id="rId46" Type="http://schemas.openxmlformats.org/officeDocument/2006/relationships/hyperlink" Target="../../../AppData/Roaming/Microsoft/Excel/Contemporary/The%20Penguins/Earth%20Angel.txt" TargetMode="External"/><Relationship Id="rId67" Type="http://schemas.openxmlformats.org/officeDocument/2006/relationships/hyperlink" Target="../../../AppData/Roaming/Microsoft/Excel/Contemporary/Pharell%20Williams/Happy.txt" TargetMode="External"/><Relationship Id="rId272" Type="http://schemas.openxmlformats.org/officeDocument/2006/relationships/hyperlink" Target="../../../AppData/Roaming/Microsoft/Excel/Contemporary/Fastball/The%20Way.txt" TargetMode="External"/><Relationship Id="rId293" Type="http://schemas.openxmlformats.org/officeDocument/2006/relationships/hyperlink" Target="../../../AppData/Roaming/Microsoft/Excel/Contemporary/U2/One.txt" TargetMode="External"/><Relationship Id="rId307" Type="http://schemas.openxmlformats.org/officeDocument/2006/relationships/hyperlink" Target="../../../AppData/Roaming/Microsoft/Excel/Contemporary/Outlandish/Aicha.txt" TargetMode="External"/><Relationship Id="rId328" Type="http://schemas.openxmlformats.org/officeDocument/2006/relationships/hyperlink" Target="../../../AppData/Roaming/Microsoft/Excel/Contemporary/Whitney%20Houston/I%20Wanna%20Dance%20With%20Somebody.txt" TargetMode="External"/><Relationship Id="rId88" Type="http://schemas.openxmlformats.org/officeDocument/2006/relationships/hyperlink" Target="../../../AppData/Roaming/Microsoft/Excel/Contemporary/Sixpence%20None%20The%20Richer/Kiss%20Me.txt" TargetMode="External"/><Relationship Id="rId111" Type="http://schemas.openxmlformats.org/officeDocument/2006/relationships/hyperlink" Target="../../../AppData/Roaming/Microsoft/Excel/Contemporary/The%20Moody%20Blues/Nights%20In%20White%20Satin.txt" TargetMode="External"/><Relationship Id="rId132" Type="http://schemas.openxmlformats.org/officeDocument/2006/relationships/hyperlink" Target="../../../AppData/Roaming/Microsoft/Excel/Contemporary/Shaggy/Strength%20Of%20A%20Woman.txt" TargetMode="External"/><Relationship Id="rId153" Type="http://schemas.openxmlformats.org/officeDocument/2006/relationships/hyperlink" Target="../../../AppData/Roaming/Microsoft/Excel/Contemporary/Ingrid%20Michaelson/The%20Way%20I%20Am.txt" TargetMode="External"/><Relationship Id="rId174" Type="http://schemas.openxmlformats.org/officeDocument/2006/relationships/hyperlink" Target="../../../AppData/Roaming/Microsoft/Excel/Contemporary/Chris%20Isaak/Wicked%20Game.txt" TargetMode="External"/><Relationship Id="rId195" Type="http://schemas.openxmlformats.org/officeDocument/2006/relationships/hyperlink" Target="../../../AppData/Roaming/Microsoft/Excel/Contemporary/Edwina%20Hayes/Feels%20Like%20Home.txt" TargetMode="External"/><Relationship Id="rId209" Type="http://schemas.openxmlformats.org/officeDocument/2006/relationships/hyperlink" Target="../../../AppData/Roaming/Microsoft/Excel/Contemporary/McFly/All%20About%20You.txt" TargetMode="External"/><Relationship Id="rId220" Type="http://schemas.openxmlformats.org/officeDocument/2006/relationships/hyperlink" Target="../../../AppData/Roaming/Microsoft/Excel/Contemporary/Sia/Cheap%20Thrills.txt" TargetMode="External"/><Relationship Id="rId241" Type="http://schemas.openxmlformats.org/officeDocument/2006/relationships/hyperlink" Target="../../../AppData/Roaming/Microsoft/Excel/Contemporary/Mungo%20Jerry/In%20The%20Summertime.txt" TargetMode="External"/><Relationship Id="rId15" Type="http://schemas.openxmlformats.org/officeDocument/2006/relationships/hyperlink" Target="../../../AppData/Roaming/Microsoft/Excel/Contemporary/Deep%20Blue%20Something/Breakfast%20At%20Tiffany's.txt" TargetMode="External"/><Relationship Id="rId36" Type="http://schemas.openxmlformats.org/officeDocument/2006/relationships/hyperlink" Target="../../../AppData/Roaming/Microsoft/Excel/Contemporary/The%20Avett%20Brothers/Die%20Die%20Die.txt" TargetMode="External"/><Relationship Id="rId57" Type="http://schemas.openxmlformats.org/officeDocument/2006/relationships/hyperlink" Target="../../../AppData/Roaming/Microsoft/Excel/Contemporary/Eric%20Hutchinson/Forever.txt" TargetMode="External"/><Relationship Id="rId262" Type="http://schemas.openxmlformats.org/officeDocument/2006/relationships/hyperlink" Target="../../../AppData/Roaming/Microsoft/Excel/Contemporary/Santana/Maria%20Maria.txt" TargetMode="External"/><Relationship Id="rId283" Type="http://schemas.openxmlformats.org/officeDocument/2006/relationships/hyperlink" Target="../../../AppData/Roaming/Microsoft/Excel/Contemporary/Hindi%20Zahra/Beautiful%20Tango.txt" TargetMode="External"/><Relationship Id="rId318" Type="http://schemas.openxmlformats.org/officeDocument/2006/relationships/hyperlink" Target="../../../AppData/Roaming/Microsoft/Excel/Contemporary/Camila%20Cabello/Senorita.txt" TargetMode="External"/><Relationship Id="rId78" Type="http://schemas.openxmlformats.org/officeDocument/2006/relationships/hyperlink" Target="../../../AppData/Roaming/Microsoft/Excel/Contemporary/Aretha%20Franklin/I%20Will%20Survive.txt" TargetMode="External"/><Relationship Id="rId99" Type="http://schemas.openxmlformats.org/officeDocument/2006/relationships/hyperlink" Target="../../../AppData/Roaming/Microsoft/Excel/Contemporary/Jason%20Mraz/Lucky.txt" TargetMode="External"/><Relationship Id="rId101" Type="http://schemas.openxmlformats.org/officeDocument/2006/relationships/hyperlink" Target="../../../AppData/Roaming/Microsoft/Excel/Contemporary/Adele/Make%20You%20Feel%20My%20Love.txt" TargetMode="External"/><Relationship Id="rId122" Type="http://schemas.openxmlformats.org/officeDocument/2006/relationships/hyperlink" Target="../../../AppData/Roaming/Microsoft/Excel/Contemporary/Eric%20Hutchinson/Rock%20'n'%20Roll.txt" TargetMode="External"/><Relationship Id="rId143" Type="http://schemas.openxmlformats.org/officeDocument/2006/relationships/hyperlink" Target="../../../AppData/Roaming/Microsoft/Excel/Contemporary/Engelbert%20Humperdinck/Ten%20Guitars.txt" TargetMode="External"/><Relationship Id="rId164" Type="http://schemas.openxmlformats.org/officeDocument/2006/relationships/hyperlink" Target="../../../AppData/Roaming/Microsoft/Excel/Contemporary/Sting/Until.txt" TargetMode="External"/><Relationship Id="rId185" Type="http://schemas.openxmlformats.org/officeDocument/2006/relationships/hyperlink" Target="../../../AppData/Roaming/Microsoft/Excel/Contemporary/Shania%20Twain/You're%20Still%20The%20One.txt" TargetMode="External"/><Relationship Id="rId9" Type="http://schemas.openxmlformats.org/officeDocument/2006/relationships/hyperlink" Target="../../../AppData/Roaming/Microsoft/Excel/Contemporary/Andrea%20Bocelli/Besame%20Mucho.txt" TargetMode="External"/><Relationship Id="rId210" Type="http://schemas.openxmlformats.org/officeDocument/2006/relationships/hyperlink" Target="../../../AppData/Roaming/Microsoft/Excel/Contemporary/Meghan%20Trainor/All%20About%20That%20Bass.txt" TargetMode="External"/><Relationship Id="rId26" Type="http://schemas.openxmlformats.org/officeDocument/2006/relationships/hyperlink" Target="../../../AppData/Roaming/Microsoft/Excel/Contemporary/Semisonic/Closing%20Time.txt" TargetMode="External"/><Relationship Id="rId231" Type="http://schemas.openxmlformats.org/officeDocument/2006/relationships/hyperlink" Target="../../../AppData/Roaming/Microsoft/Excel/Contemporary/ABBA/Gimme%20Gimme%20Gimme.txt" TargetMode="External"/><Relationship Id="rId252" Type="http://schemas.openxmlformats.org/officeDocument/2006/relationships/hyperlink" Target="../../../AppData/Roaming/Microsoft/Excel/Contemporary/Madonna/La%20Isla%20Bonita.txt" TargetMode="External"/><Relationship Id="rId273" Type="http://schemas.openxmlformats.org/officeDocument/2006/relationships/hyperlink" Target="../../../AppData/Roaming/Microsoft/Excel/Contemporary/Blondie/The%20Tide%20Is%20High.txt" TargetMode="External"/><Relationship Id="rId294" Type="http://schemas.openxmlformats.org/officeDocument/2006/relationships/hyperlink" Target="../../../AppData/Roaming/Microsoft/Excel/Contemporary/U2/With%20Or%20Without%20You.txt" TargetMode="External"/><Relationship Id="rId308" Type="http://schemas.openxmlformats.org/officeDocument/2006/relationships/hyperlink" Target="../../../AppData/Roaming/Microsoft/Excel/Contemporary/Michael%20Jackson/Billie%20Jean.txt" TargetMode="External"/><Relationship Id="rId329" Type="http://schemas.openxmlformats.org/officeDocument/2006/relationships/hyperlink" Target="../../../AppData/Roaming/Microsoft/Excel/Contemporary/Ray%20Dalton/Don't%20Make%20Me%20Miss%20You.txt" TargetMode="External"/><Relationship Id="rId47" Type="http://schemas.openxmlformats.org/officeDocument/2006/relationships/hyperlink" Target="../../../AppData/Roaming/Microsoft/Excel/Contemporary/The%20Beatles/Eight%20Days%20A%20Week.txt" TargetMode="External"/><Relationship Id="rId68" Type="http://schemas.openxmlformats.org/officeDocument/2006/relationships/hyperlink" Target="../../../AppData/Roaming/Microsoft/Excel/Contemporary/CCR/Have%20You%20Ever%20Seen%20The%20Rain.txt" TargetMode="External"/><Relationship Id="rId89" Type="http://schemas.openxmlformats.org/officeDocument/2006/relationships/hyperlink" Target="../../../AppData/Roaming/Microsoft/Excel/Contemporary/Louis%20Armstrong/La%20Vie%20En%20Rose.txt" TargetMode="External"/><Relationship Id="rId112" Type="http://schemas.openxmlformats.org/officeDocument/2006/relationships/hyperlink" Target="../../../AppData/Roaming/Microsoft/Excel/Contemporary/The%20Beatles/Norwegian%20Wood.txt" TargetMode="External"/><Relationship Id="rId133" Type="http://schemas.openxmlformats.org/officeDocument/2006/relationships/hyperlink" Target="../../../AppData/Roaming/Microsoft/Excel/Contemporary/Stealers%20Wheel/Stuck%20In%20The%20Middle%20With%20You.txt" TargetMode="External"/><Relationship Id="rId154" Type="http://schemas.openxmlformats.org/officeDocument/2006/relationships/hyperlink" Target="../../../AppData/Roaming/Microsoft/Excel/Contemporary/Frank%20Sinatra/The%20Way%20You%20Look%20Tonight.txt" TargetMode="External"/><Relationship Id="rId175" Type="http://schemas.openxmlformats.org/officeDocument/2006/relationships/hyperlink" Target="../../../AppData/Roaming/Microsoft/Excel/Contemporary/Cat%20Stevens/Wild%20World.txt" TargetMode="External"/><Relationship Id="rId196" Type="http://schemas.openxmlformats.org/officeDocument/2006/relationships/hyperlink" Target="../../../AppData/Roaming/Microsoft/Excel/Contemporary/The%20Killers/Mr%20Brightside.txt" TargetMode="External"/><Relationship Id="rId200" Type="http://schemas.openxmlformats.org/officeDocument/2006/relationships/hyperlink" Target="../../../AppData/Roaming/Microsoft/Excel/Contemporary/Paolo%20Nutini/New%20Shoes.txt" TargetMode="External"/><Relationship Id="rId16" Type="http://schemas.openxmlformats.org/officeDocument/2006/relationships/hyperlink" Target="../../../AppData/Roaming/Microsoft/Excel/Contemporary/Van%20Morrison/Brown%20Eyed%20Girl.txt" TargetMode="External"/><Relationship Id="rId221" Type="http://schemas.openxmlformats.org/officeDocument/2006/relationships/hyperlink" Target="../../../AppData/Roaming/Microsoft/Excel/Contemporary/Coldplay/Clocks.txt" TargetMode="External"/><Relationship Id="rId242" Type="http://schemas.openxmlformats.org/officeDocument/2006/relationships/hyperlink" Target="../../../AppData/Roaming/Microsoft/Excel/Contemporary/Amy%20MacDonald/This%20Is%20The%20Life.txt" TargetMode="External"/><Relationship Id="rId263" Type="http://schemas.openxmlformats.org/officeDocument/2006/relationships/hyperlink" Target="../../../AppData/Roaming/Microsoft/Excel/Contemporary/Sade/Smooth%20Operator.txt" TargetMode="External"/><Relationship Id="rId284" Type="http://schemas.openxmlformats.org/officeDocument/2006/relationships/hyperlink" Target="../../../AppData/Roaming/Microsoft/Excel/Contemporary/Cliff%20Richard/Summer%20Holiday.txt" TargetMode="External"/><Relationship Id="rId319" Type="http://schemas.openxmlformats.org/officeDocument/2006/relationships/hyperlink" Target="../../../AppData/Roaming/Microsoft/Excel/Contemporary/Nirvana/Smells%20Like%20Teen%20Spirit.txt" TargetMode="External"/><Relationship Id="rId37" Type="http://schemas.openxmlformats.org/officeDocument/2006/relationships/hyperlink" Target="../../../AppData/Roaming/Microsoft/Excel/Contemporary/ABBA/Does%20Your%20Mother%20Know.txt" TargetMode="External"/><Relationship Id="rId58" Type="http://schemas.openxmlformats.org/officeDocument/2006/relationships/hyperlink" Target="../../../AppData/Roaming/Microsoft/Excel/Contemporary/John%20Mayer/Free%20Falling.txt" TargetMode="External"/><Relationship Id="rId79" Type="http://schemas.openxmlformats.org/officeDocument/2006/relationships/hyperlink" Target="../../../AppData/Roaming/Microsoft/Excel/Contemporary/The%20Rembrandts/I'll%20Be%20There%20For%20You%20(Friends%20theme).txt" TargetMode="External"/><Relationship Id="rId102" Type="http://schemas.openxmlformats.org/officeDocument/2006/relationships/hyperlink" Target="../../../AppData/Roaming/Microsoft/Excel/Contemporary/ABBA/Mamma%20Mia.txt" TargetMode="External"/><Relationship Id="rId123" Type="http://schemas.openxmlformats.org/officeDocument/2006/relationships/hyperlink" Target="../../../AppData/Roaming/Microsoft/Excel/Contemporary/Elton%20John/Rocket%20Man.txt" TargetMode="External"/><Relationship Id="rId144" Type="http://schemas.openxmlformats.org/officeDocument/2006/relationships/hyperlink" Target="../../../AppData/Roaming/Microsoft/Excel/Contemporary/Savage%20Garden/The%20Animal%20Song.txt" TargetMode="External"/><Relationship Id="rId330" Type="http://schemas.openxmlformats.org/officeDocument/2006/relationships/hyperlink" Target="../../../AppData/Roaming/Microsoft/Excel/Contemporary/Fleetwood%20Mac/Dreams.txt" TargetMode="External"/><Relationship Id="rId90" Type="http://schemas.openxmlformats.org/officeDocument/2006/relationships/hyperlink" Target="../../../AppData/Roaming/Microsoft/Excel/Contemporary/John%20Denver/Leaving%20On%20A%20Jet%20Plane.txt" TargetMode="External"/><Relationship Id="rId165" Type="http://schemas.openxmlformats.org/officeDocument/2006/relationships/hyperlink" Target="../../../AppData/Roaming/Microsoft/Excel/Contemporary/Billy%20Joel/Uptown%20Girl.txt" TargetMode="External"/><Relationship Id="rId186" Type="http://schemas.openxmlformats.org/officeDocument/2006/relationships/hyperlink" Target="../../../AppData/Roaming/Microsoft/Excel/Contemporary/The%20Beatles/You've%20Got%20To%20Hide%20Your%20Love%20Away.txt" TargetMode="External"/><Relationship Id="rId211" Type="http://schemas.openxmlformats.org/officeDocument/2006/relationships/hyperlink" Target="../../../AppData/Roaming/Microsoft/Excel/Contemporary/Toto/Africa.txt" TargetMode="External"/><Relationship Id="rId232" Type="http://schemas.openxmlformats.org/officeDocument/2006/relationships/hyperlink" Target="../../../AppData/Roaming/Microsoft/Excel/Contemporary/ABBA/I%20Have%20A%20Dream.txt" TargetMode="External"/><Relationship Id="rId253" Type="http://schemas.openxmlformats.org/officeDocument/2006/relationships/hyperlink" Target="../../../AppData/Roaming/Microsoft/Excel/Contemporary/Britney%20Spears/Toxic.txt" TargetMode="External"/><Relationship Id="rId274" Type="http://schemas.openxmlformats.org/officeDocument/2006/relationships/hyperlink" Target="../../../AppData/Roaming/Microsoft/Excel/Contemporary/Lenka/The%20Show.txt" TargetMode="External"/><Relationship Id="rId295" Type="http://schemas.openxmlformats.org/officeDocument/2006/relationships/hyperlink" Target="../../../AppData/Roaming/Microsoft/Excel/Contemporary/Coldplay/Hymn%20For%20The%20Weekend.txt" TargetMode="External"/><Relationship Id="rId309" Type="http://schemas.openxmlformats.org/officeDocument/2006/relationships/hyperlink" Target="../../../AppData/Roaming/Microsoft/Excel/Contemporary/OneRepublic/Counting%20Stars.txt" TargetMode="External"/><Relationship Id="rId27" Type="http://schemas.openxmlformats.org/officeDocument/2006/relationships/hyperlink" Target="../../../AppData/Roaming/Microsoft/Excel/Contemporary/Bryan%20Adams/Cloud%20Number%20Nine.txt" TargetMode="External"/><Relationship Id="rId48" Type="http://schemas.openxmlformats.org/officeDocument/2006/relationships/hyperlink" Target="../../../AppData/Roaming/Microsoft/Excel/Contemporary/Rupert%20Holmes/Escape.txt" TargetMode="External"/><Relationship Id="rId69" Type="http://schemas.openxmlformats.org/officeDocument/2006/relationships/hyperlink" Target="../../../AppData/Roaming/Microsoft/Excel/Contemporary/Neil%20Young/Heart%20Of%20Gold.txt" TargetMode="External"/><Relationship Id="rId113" Type="http://schemas.openxmlformats.org/officeDocument/2006/relationships/hyperlink" Target="../../../AppData/Roaming/Microsoft/Excel/Contemporary/Linkin%20Park/Numb.txt" TargetMode="External"/><Relationship Id="rId134" Type="http://schemas.openxmlformats.org/officeDocument/2006/relationships/hyperlink" Target="../../../AppData/Roaming/Microsoft/Excel/Contemporary/The%20Archies/Sugar%20(Honey%20Honey).txt" TargetMode="External"/><Relationship Id="rId320" Type="http://schemas.openxmlformats.org/officeDocument/2006/relationships/hyperlink" Target="../../../AppData/Roaming/Microsoft/Excel/Contemporary/Lionel%20Richie/Stuck%20On%20You.txt" TargetMode="External"/><Relationship Id="rId80" Type="http://schemas.openxmlformats.org/officeDocument/2006/relationships/hyperlink" Target="../../../AppData/Roaming/Microsoft/Excel/Contemporary/REM/It's%20the%20End%20of%20the%20World%20As%20We%20Know%20It.txt" TargetMode="External"/><Relationship Id="rId155" Type="http://schemas.openxmlformats.org/officeDocument/2006/relationships/hyperlink" Target="../../../AppData/Roaming/Microsoft/Excel/Contemporary/Michael%20Jackson/The%20Way%20You%20Make%20Me%20Feel.txt" TargetMode="External"/><Relationship Id="rId176" Type="http://schemas.openxmlformats.org/officeDocument/2006/relationships/hyperlink" Target="../../../AppData/Roaming/Microsoft/Excel/Contemporary/James%20Blunt/Wisemen.txt" TargetMode="External"/><Relationship Id="rId197" Type="http://schemas.openxmlformats.org/officeDocument/2006/relationships/hyperlink" Target="../../../AppData/Roaming/Microsoft/Excel/Contemporary/Meghan%20Trainor/Dear%20Future%20Husband.txt" TargetMode="External"/><Relationship Id="rId201" Type="http://schemas.openxmlformats.org/officeDocument/2006/relationships/hyperlink" Target="../../../AppData/Roaming/Microsoft/Excel/Contemporary/Green%20Day/Good%20Riddance.txt" TargetMode="External"/><Relationship Id="rId222" Type="http://schemas.openxmlformats.org/officeDocument/2006/relationships/hyperlink" Target="../../../AppData/Roaming/Microsoft/Excel/Contemporary/JJ%20Cale/After%20Midnight.txt" TargetMode="External"/><Relationship Id="rId243" Type="http://schemas.openxmlformats.org/officeDocument/2006/relationships/hyperlink" Target="../../../AppData/Roaming/Microsoft/Excel/Contemporary/Dido/White%20Flag.txt" TargetMode="External"/><Relationship Id="rId264" Type="http://schemas.openxmlformats.org/officeDocument/2006/relationships/hyperlink" Target="../../../AppData/Roaming/Microsoft/Excel/Contemporary/Santana/Smooth.txt" TargetMode="External"/><Relationship Id="rId285" Type="http://schemas.openxmlformats.org/officeDocument/2006/relationships/hyperlink" Target="../../../AppData/Roaming/Microsoft/Excel/Contemporary/Boney%20M/Rasputin.txt" TargetMode="External"/><Relationship Id="rId17" Type="http://schemas.openxmlformats.org/officeDocument/2006/relationships/hyperlink" Target="../../../AppData/Roaming/Microsoft/Excel/Contemporary/George%20Ezra/Budapest.txt" TargetMode="External"/><Relationship Id="rId38" Type="http://schemas.openxmlformats.org/officeDocument/2006/relationships/hyperlink" Target="../../../AppData/Roaming/Microsoft/Excel/Contemporary/Crystal%20Gayle/Don't%20It%20Make%20My%20Brown%20Eyes%20Blue.txt" TargetMode="External"/><Relationship Id="rId59" Type="http://schemas.openxmlformats.org/officeDocument/2006/relationships/hyperlink" Target="../../../AppData/Roaming/Microsoft/Excel/Contemporary/Christina%20Aguilera/Genie%20In%20A%20Bottle.txt" TargetMode="External"/><Relationship Id="rId103" Type="http://schemas.openxmlformats.org/officeDocument/2006/relationships/hyperlink" Target="../../../AppData/Roaming/Microsoft/Excel/Contemporary/Tom%20Petty%20and%20The%20Heartbreakers/Mary%20Jane's%20Last%20Dance.txt" TargetMode="External"/><Relationship Id="rId124" Type="http://schemas.openxmlformats.org/officeDocument/2006/relationships/hyperlink" Target="../../../AppData/Roaming/Microsoft/Excel/Contemporary/Sue%20Thompson/Sad%20Movies%20(Make%20Me%20Cry).txt" TargetMode="External"/><Relationship Id="rId310" Type="http://schemas.openxmlformats.org/officeDocument/2006/relationships/hyperlink" Target="../../../AppData/Roaming/Microsoft/Excel/Contemporary/The%20Police/Every%20Breath%20You%20Take.txt" TargetMode="External"/><Relationship Id="rId70" Type="http://schemas.openxmlformats.org/officeDocument/2006/relationships/hyperlink" Target="../../../AppData/Roaming/Microsoft/Excel/Contemporary/Lionel%20Richie/Hello.txt" TargetMode="External"/><Relationship Id="rId91" Type="http://schemas.openxmlformats.org/officeDocument/2006/relationships/hyperlink" Target="../../../AppData/Roaming/Microsoft/Excel/Contemporary/Fool's%20Garden/Lemon%20Tree.txt" TargetMode="External"/><Relationship Id="rId145" Type="http://schemas.openxmlformats.org/officeDocument/2006/relationships/hyperlink" Target="../../../AppData/Roaming/Microsoft/Excel/Contemporary/Simon%20and%20Garfunkel/The%20Boxer.txt" TargetMode="External"/><Relationship Id="rId166" Type="http://schemas.openxmlformats.org/officeDocument/2006/relationships/hyperlink" Target="../../../AppData/Roaming/Microsoft/Excel/Contemporary/Owl%20City/Vanilla%20Twilight.txt" TargetMode="External"/><Relationship Id="rId187" Type="http://schemas.openxmlformats.org/officeDocument/2006/relationships/hyperlink" Target="../../../AppData/Roaming/Microsoft/Excel/Contemporary/Elton%20John/Your%20Song.txt" TargetMode="External"/><Relationship Id="rId331" Type="http://schemas.openxmlformats.org/officeDocument/2006/relationships/hyperlink" Target="../../../AppData/Roaming/Microsoft/Excel/Contemporary/Michael%20Jackson/Black%20Or%20White.txt" TargetMode="External"/><Relationship Id="rId1" Type="http://schemas.openxmlformats.org/officeDocument/2006/relationships/hyperlink" Target="../../../AppData/Roaming/Microsoft/Excel/Contemporary/Smash%20Mouth/All%20Star.txt" TargetMode="External"/><Relationship Id="rId212" Type="http://schemas.openxmlformats.org/officeDocument/2006/relationships/hyperlink" Target="../../../AppData/Roaming/Microsoft/Excel/Contemporary/Coldplay/Adventure%20Of%20A%20Lifetime.txt" TargetMode="External"/><Relationship Id="rId233" Type="http://schemas.openxmlformats.org/officeDocument/2006/relationships/hyperlink" Target="../../../AppData/Roaming/Microsoft/Excel/Contemporary/ABBA/Money%20Money%20Money.txt" TargetMode="External"/><Relationship Id="rId254" Type="http://schemas.openxmlformats.org/officeDocument/2006/relationships/hyperlink" Target="../../../AppData/Roaming/Microsoft/Excel/Contemporary/Jason%20Mraz/I%20Won't%20Give%20Up.txt" TargetMode="External"/><Relationship Id="rId28" Type="http://schemas.openxmlformats.org/officeDocument/2006/relationships/hyperlink" Target="../../../AppData/Roaming/Microsoft/Excel/Contemporary/Bruno%20Mars/Count%20On%20Me.txt" TargetMode="External"/><Relationship Id="rId49" Type="http://schemas.openxmlformats.org/officeDocument/2006/relationships/hyperlink" Target="../../../AppData/Roaming/Microsoft/Excel/Contemporary/Eric%20Hutchinson/Every%20Little%20Thing%20She%20Does%20Is%20Magic.txt" TargetMode="External"/><Relationship Id="rId114" Type="http://schemas.openxmlformats.org/officeDocument/2006/relationships/hyperlink" Target="../../../AppData/Roaming/Microsoft/Excel/Contemporary/Mikey%20McCleary/Open%20Book.txt" TargetMode="External"/><Relationship Id="rId275" Type="http://schemas.openxmlformats.org/officeDocument/2006/relationships/hyperlink" Target="../../../AppData/Roaming/Microsoft/Excel/Contemporary/Ed%20Sheeran/Galway%20Girl.txt" TargetMode="External"/><Relationship Id="rId296" Type="http://schemas.openxmlformats.org/officeDocument/2006/relationships/hyperlink" Target="../../../AppData/Roaming/Microsoft/Excel/Contemporary/Bee%20Gees/How%20Deep%20Is%20Your%20Love.txt" TargetMode="External"/><Relationship Id="rId300" Type="http://schemas.openxmlformats.org/officeDocument/2006/relationships/hyperlink" Target="../../../AppData/Roaming/Microsoft/Excel/Contemporary/The%20Beatles/Hard%20Day's%20Night.txt" TargetMode="External"/><Relationship Id="rId60" Type="http://schemas.openxmlformats.org/officeDocument/2006/relationships/hyperlink" Target="../../../AppData/Roaming/Microsoft/Excel/Contemporary/Daft%20Punk/Instant%20Crush.txt" TargetMode="External"/><Relationship Id="rId81" Type="http://schemas.openxmlformats.org/officeDocument/2006/relationships/hyperlink" Target="../../../AppData/Roaming/Microsoft/Excel/Contemporary/Bread/If.txt" TargetMode="External"/><Relationship Id="rId135" Type="http://schemas.openxmlformats.org/officeDocument/2006/relationships/hyperlink" Target="../../../AppData/Roaming/Microsoft/Excel/Contemporary/Dire%20Straits/Sultans%20Of%20Swing.txt" TargetMode="External"/><Relationship Id="rId156" Type="http://schemas.openxmlformats.org/officeDocument/2006/relationships/hyperlink" Target="../../../AppData/Roaming/Microsoft/Excel/Contemporary/Sixpence%20None%20The%20Richer/There%20She%20Goes.txt" TargetMode="External"/><Relationship Id="rId177" Type="http://schemas.openxmlformats.org/officeDocument/2006/relationships/hyperlink" Target="../../../AppData/Roaming/Microsoft/Excel/Contemporary/Pink%20Floyd/Wish%20You%20Were%20Here.txt" TargetMode="External"/><Relationship Id="rId198" Type="http://schemas.openxmlformats.org/officeDocument/2006/relationships/hyperlink" Target="../../../AppData/Roaming/Microsoft/Excel/Contemporary/Shakira/Objection.txt" TargetMode="External"/><Relationship Id="rId321" Type="http://schemas.openxmlformats.org/officeDocument/2006/relationships/hyperlink" Target="../../../AppData/Roaming/Microsoft/Excel/Contemporary/Maroon%205/Sugar.txt" TargetMode="External"/><Relationship Id="rId202" Type="http://schemas.openxmlformats.org/officeDocument/2006/relationships/hyperlink" Target="../../../AppData/Roaming/Microsoft/Excel/Contemporary/Engelbert%20Humperdinck/Quando%20Quando%20Quando.txt" TargetMode="External"/><Relationship Id="rId223" Type="http://schemas.openxmlformats.org/officeDocument/2006/relationships/hyperlink" Target="../../../AppData/Roaming/Microsoft/Excel/Contemporary/Maroon%205/This%20Love.txt" TargetMode="External"/><Relationship Id="rId244" Type="http://schemas.openxmlformats.org/officeDocument/2006/relationships/hyperlink" Target="../../../AppData/Roaming/Microsoft/Excel/Contemporary/Shakira/Whenever%20Wherever.txt" TargetMode="External"/><Relationship Id="rId18" Type="http://schemas.openxmlformats.org/officeDocument/2006/relationships/hyperlink" Target="../../../AppData/Roaming/Microsoft/Excel/Contemporary/Jason%20Mraz/Butterfly.txt" TargetMode="External"/><Relationship Id="rId39" Type="http://schemas.openxmlformats.org/officeDocument/2006/relationships/hyperlink" Target="../../../AppData/Roaming/Microsoft/Excel/Contemporary/Norah%20Jones/Don't%20Know%20Why.txt" TargetMode="External"/><Relationship Id="rId265" Type="http://schemas.openxmlformats.org/officeDocument/2006/relationships/hyperlink" Target="../../../AppData/Roaming/Microsoft/Excel/Contemporary/The%20Mayries/Girls%20Just%20Want%20To%20Have%20Fun.txt" TargetMode="External"/><Relationship Id="rId286" Type="http://schemas.openxmlformats.org/officeDocument/2006/relationships/hyperlink" Target="../../../AppData/Roaming/Microsoft/Excel/Contemporary/BJ%20Thomas/Raindrops%20Keep%20Falling%20On%20My%20Head.txt" TargetMode="External"/><Relationship Id="rId50" Type="http://schemas.openxmlformats.org/officeDocument/2006/relationships/hyperlink" Target="../../../AppData/Roaming/Microsoft/Excel/Contemporary/Bread/Everything%20I%20Own.txt" TargetMode="External"/><Relationship Id="rId104" Type="http://schemas.openxmlformats.org/officeDocument/2006/relationships/hyperlink" Target="../../../AppData/Roaming/Microsoft/Excel/Contemporary/Geri%20Halliwell/Mi%20Chico%20Latino.txt" TargetMode="External"/><Relationship Id="rId125" Type="http://schemas.openxmlformats.org/officeDocument/2006/relationships/hyperlink" Target="../../../AppData/Roaming/Microsoft/Excel/Contemporary/The%20White%20Stripes/Seven%20Nation%20Army.txt" TargetMode="External"/><Relationship Id="rId146" Type="http://schemas.openxmlformats.org/officeDocument/2006/relationships/hyperlink" Target="../../../AppData/Roaming/Microsoft/Excel/Contemporary/Mumford%20And%20Sons/The%20Cave.txt" TargetMode="External"/><Relationship Id="rId167" Type="http://schemas.openxmlformats.org/officeDocument/2006/relationships/hyperlink" Target="../../../AppData/Roaming/Microsoft/Excel/Contemporary/Shocking%20Blue/Venus.txt" TargetMode="External"/><Relationship Id="rId188" Type="http://schemas.openxmlformats.org/officeDocument/2006/relationships/hyperlink" Target="../../../AppData/Roaming/Microsoft/Excel/Contemporary/The%20Cranberries/Zombie.txt" TargetMode="External"/><Relationship Id="rId311" Type="http://schemas.openxmlformats.org/officeDocument/2006/relationships/hyperlink" Target="../../../AppData/Roaming/Microsoft/Excel/Contemporary/Fleetwood%20Mac/Everywhere.txt" TargetMode="External"/><Relationship Id="rId332" Type="http://schemas.openxmlformats.org/officeDocument/2006/relationships/hyperlink" Target="../../../AppData/Roaming/Microsoft/Excel/Contemporary/Neil%20Young/Harvest%20Moon.txt" TargetMode="External"/><Relationship Id="rId71" Type="http://schemas.openxmlformats.org/officeDocument/2006/relationships/hyperlink" Target="../../../AppData/Roaming/Microsoft/Excel/Contemporary/3%20Doors%20Down/Here%20Without%20You.txt" TargetMode="External"/><Relationship Id="rId92" Type="http://schemas.openxmlformats.org/officeDocument/2006/relationships/hyperlink" Target="../../../AppData/Roaming/Microsoft/Excel/Contemporary/Passenger/Let%20Her%20Go.txt" TargetMode="External"/><Relationship Id="rId213" Type="http://schemas.openxmlformats.org/officeDocument/2006/relationships/hyperlink" Target="../../../AppData/Roaming/Microsoft/Excel/Contemporary/Christina%20Perri/A%20Thousand%20Years.txt" TargetMode="External"/><Relationship Id="rId234" Type="http://schemas.openxmlformats.org/officeDocument/2006/relationships/hyperlink" Target="../../../AppData/Roaming/Microsoft/Excel/Contemporary/ABBA/SOS.txt" TargetMode="External"/><Relationship Id="rId2" Type="http://schemas.openxmlformats.org/officeDocument/2006/relationships/hyperlink" Target="../../../AppData/Roaming/Microsoft/Excel/Contemporary/Juice%20Newton/Angel%20of%20the%20Morning.txt" TargetMode="External"/><Relationship Id="rId29" Type="http://schemas.openxmlformats.org/officeDocument/2006/relationships/hyperlink" Target="../../../AppData/Roaming/Microsoft/Excel/Contemporary/John%20Denver/Country%20Roads.txt" TargetMode="External"/><Relationship Id="rId255" Type="http://schemas.openxmlformats.org/officeDocument/2006/relationships/hyperlink" Target="../../../AppData/Roaming/Microsoft/Excel/Contemporary/Buffalo%20Springfield/For%20What%20Its%20Worth.txt" TargetMode="External"/><Relationship Id="rId276" Type="http://schemas.openxmlformats.org/officeDocument/2006/relationships/hyperlink" Target="../../../AppData/Roaming/Microsoft/Excel/Contemporary/Jerry%20Lee%20Lewis/Great%20Balls%20Of%20Fire.txt" TargetMode="External"/><Relationship Id="rId297" Type="http://schemas.openxmlformats.org/officeDocument/2006/relationships/hyperlink" Target="../../../AppData/Roaming/Microsoft/Excel/Contemporary/George%20Ezra/Shotgun.txt" TargetMode="External"/><Relationship Id="rId40" Type="http://schemas.openxmlformats.org/officeDocument/2006/relationships/hyperlink" Target="../../../AppData/Roaming/Microsoft/Excel/Contemporary/Oasis/Don't%20Look%20Back%20In%20Anger.txt" TargetMode="External"/><Relationship Id="rId115" Type="http://schemas.openxmlformats.org/officeDocument/2006/relationships/hyperlink" Target="../../../AppData/Roaming/Microsoft/Excel/Contemporary/Anita%20Bryant/Paper%20Roses.txt" TargetMode="External"/><Relationship Id="rId136" Type="http://schemas.openxmlformats.org/officeDocument/2006/relationships/hyperlink" Target="../../../AppData/Roaming/Microsoft/Excel/Contemporary/Lazlo%20Bane/Superman.txt" TargetMode="External"/><Relationship Id="rId157" Type="http://schemas.openxmlformats.org/officeDocument/2006/relationships/hyperlink" Target="../../../AppData/Roaming/Microsoft/Excel/Contemporary/Ed%20Sheeran/Thinking%20Out%20Loud.txt" TargetMode="External"/><Relationship Id="rId178" Type="http://schemas.openxmlformats.org/officeDocument/2006/relationships/hyperlink" Target="../../../AppData/Roaming/Microsoft/Excel/Contemporary/Eric%20Clapton/Wonderful%20Tonight.txt" TargetMode="External"/><Relationship Id="rId301" Type="http://schemas.openxmlformats.org/officeDocument/2006/relationships/hyperlink" Target="../../../AppData/Roaming/Microsoft/Excel/Contemporary/The%20Beatles/In%20My%20Life.txt" TargetMode="External"/><Relationship Id="rId322" Type="http://schemas.openxmlformats.org/officeDocument/2006/relationships/hyperlink" Target="../../../AppData/Roaming/Microsoft/Excel/Contemporary/Various/Answer%20Me%20My%20Love.txt" TargetMode="External"/><Relationship Id="rId61" Type="http://schemas.openxmlformats.org/officeDocument/2006/relationships/hyperlink" Target="../../../AppData/Roaming/Microsoft/Excel/Contemporary/Maroon%205/Give%20A%20Little%20More.txt" TargetMode="External"/><Relationship Id="rId82" Type="http://schemas.openxmlformats.org/officeDocument/2006/relationships/hyperlink" Target="../../../AppData/Roaming/Microsoft/Excel/Contemporary/Peter,%20Paul,%20and%20Mary/If%20I%20Had%20A%20Hammer.txt" TargetMode="External"/><Relationship Id="rId199" Type="http://schemas.openxmlformats.org/officeDocument/2006/relationships/hyperlink" Target="../../../AppData/Roaming/Microsoft/Excel/Contemporary/The%20Beatles/Twist%20And%20Shout.txt" TargetMode="External"/><Relationship Id="rId203" Type="http://schemas.openxmlformats.org/officeDocument/2006/relationships/hyperlink" Target="../../../AppData/Roaming/Microsoft/Excel/Contemporary/Jessie%20J/Price%20Tag.txt" TargetMode="External"/><Relationship Id="rId19" Type="http://schemas.openxmlformats.org/officeDocument/2006/relationships/hyperlink" Target="../../../AppData/Roaming/Microsoft/Excel/Contemporary/Everly%20Brothers/Bye%20Bye%20Love.txt" TargetMode="External"/><Relationship Id="rId224" Type="http://schemas.openxmlformats.org/officeDocument/2006/relationships/hyperlink" Target="../../../AppData/Roaming/Microsoft/Excel/Contemporary/Peter,%20Paul,%20and%20Mary/Blowin'%20In%20The%20Wind.txt" TargetMode="External"/><Relationship Id="rId245" Type="http://schemas.openxmlformats.org/officeDocument/2006/relationships/hyperlink" Target="../../../AppData/Roaming/Microsoft/Excel/Contemporary/Adele/Rolling%20In%20The%20Deep.txt" TargetMode="External"/><Relationship Id="rId266" Type="http://schemas.openxmlformats.org/officeDocument/2006/relationships/hyperlink" Target="../../../AppData/Roaming/Microsoft/Excel/Contemporary/Elvis%20Presley/A%20Little%20Less%20Conversation.txt" TargetMode="External"/><Relationship Id="rId287" Type="http://schemas.openxmlformats.org/officeDocument/2006/relationships/hyperlink" Target="../../../AppData/Roaming/Microsoft/Excel/Contemporary/Miley%20Cyrus/Flowers.txt" TargetMode="External"/><Relationship Id="rId30" Type="http://schemas.openxmlformats.org/officeDocument/2006/relationships/hyperlink" Target="../../../AppData/Roaming/Microsoft/Excel/Contemporary/Gnarls%20Barkley/Crazy.txt" TargetMode="External"/><Relationship Id="rId105" Type="http://schemas.openxmlformats.org/officeDocument/2006/relationships/hyperlink" Target="../../../AppData/Roaming/Microsoft/Excel/Contemporary/The%20Beatles/Michelle.txt" TargetMode="External"/><Relationship Id="rId126" Type="http://schemas.openxmlformats.org/officeDocument/2006/relationships/hyperlink" Target="../../../AppData/Roaming/Microsoft/Excel/Contemporary/Maroon%205/She%20Will%20Be%20Loved.txt" TargetMode="External"/><Relationship Id="rId147" Type="http://schemas.openxmlformats.org/officeDocument/2006/relationships/hyperlink" Target="../../../AppData/Roaming/Microsoft/Excel/Contemporary/The%20Steve%20Miller%20Band/The%20Joker.txt" TargetMode="External"/><Relationship Id="rId168" Type="http://schemas.openxmlformats.org/officeDocument/2006/relationships/hyperlink" Target="../../../AppData/Roaming/Microsoft/Excel/Contemporary/Coldplay/Viva%20La%20Vida.txt" TargetMode="External"/><Relationship Id="rId312" Type="http://schemas.openxmlformats.org/officeDocument/2006/relationships/hyperlink" Target="../../../AppData/Roaming/Microsoft/Excel/Contemporary/Uncle%20Kracker/Follow%20Me.txt" TargetMode="External"/><Relationship Id="rId333" Type="http://schemas.openxmlformats.org/officeDocument/2006/relationships/hyperlink" Target="../../../AppData/Roaming/Microsoft/Excel/Contemporary/The%20Cure/Just%20Like%20Heaven.txt" TargetMode="External"/><Relationship Id="rId51" Type="http://schemas.openxmlformats.org/officeDocument/2006/relationships/hyperlink" Target="../../../AppData/Roaming/Microsoft/Excel/Contemporary/George%20Michael/Faith.txt" TargetMode="External"/><Relationship Id="rId72" Type="http://schemas.openxmlformats.org/officeDocument/2006/relationships/hyperlink" Target="../../../AppData/Roaming/Microsoft/Excel/Contemporary/The%20Beatles/Hey%20Jude.txt" TargetMode="External"/><Relationship Id="rId93" Type="http://schemas.openxmlformats.org/officeDocument/2006/relationships/hyperlink" Target="../../../AppData/Roaming/Microsoft/Excel/Contemporary/Meghan%20Trainor/Like%20I'm%20Gonna%20Lose%20You.txt" TargetMode="External"/><Relationship Id="rId189" Type="http://schemas.openxmlformats.org/officeDocument/2006/relationships/hyperlink" Target="../../../AppData/Roaming/Microsoft/Excel/Contemporary/Various/The%20Girl%20From%20Ipanema.txt" TargetMode="External"/><Relationship Id="rId3" Type="http://schemas.openxmlformats.org/officeDocument/2006/relationships/hyperlink" Target="../../../AppData/Roaming/Microsoft/Excel/Contemporary/Robbie%20Williams/Angels.txt" TargetMode="External"/><Relationship Id="rId214" Type="http://schemas.openxmlformats.org/officeDocument/2006/relationships/hyperlink" Target="../../../AppData/Roaming/Microsoft/Excel/Contemporary/Vanessa%20Carlton/A%20Thousand%20Miles.txt" TargetMode="External"/><Relationship Id="rId235" Type="http://schemas.openxmlformats.org/officeDocument/2006/relationships/hyperlink" Target="../../../AppData/Roaming/Microsoft/Excel/Contemporary/ABBA/Super%20Trouper.txt" TargetMode="External"/><Relationship Id="rId256" Type="http://schemas.openxmlformats.org/officeDocument/2006/relationships/hyperlink" Target="../../../AppData/Roaming/Microsoft/Excel/Contemporary/Beyonce/Halo.txt" TargetMode="External"/><Relationship Id="rId277" Type="http://schemas.openxmlformats.org/officeDocument/2006/relationships/hyperlink" Target="../../../AppData/Roaming/Microsoft/Excel/Contemporary/John%20Mayer/New%20Light.txt" TargetMode="External"/><Relationship Id="rId298" Type="http://schemas.openxmlformats.org/officeDocument/2006/relationships/hyperlink" Target="../../../AppData/Roaming/Microsoft/Excel/Contemporary/Mary%20Hopkin/Those%20Were%20The%20Days.txt" TargetMode="External"/><Relationship Id="rId116" Type="http://schemas.openxmlformats.org/officeDocument/2006/relationships/hyperlink" Target="../../../AppData/Roaming/Microsoft/Excel/Contemporary/Coldplay/Paradise.txt" TargetMode="External"/><Relationship Id="rId137" Type="http://schemas.openxmlformats.org/officeDocument/2006/relationships/hyperlink" Target="../../../AppData/Roaming/Microsoft/Excel/Contemporary/Coldplay/Swallowed%20In%20The%20Sea.txt" TargetMode="External"/><Relationship Id="rId158" Type="http://schemas.openxmlformats.org/officeDocument/2006/relationships/hyperlink" Target="../../../AppData/Roaming/Microsoft/Excel/Contemporary/Eva%20Cassidy/Time%20After%20Time.txt" TargetMode="External"/><Relationship Id="rId302" Type="http://schemas.openxmlformats.org/officeDocument/2006/relationships/hyperlink" Target="../../../AppData/Roaming/Microsoft/Excel/Contemporary/Rainbow/The%20Temple%20Of%20The%20King.txt" TargetMode="External"/><Relationship Id="rId323" Type="http://schemas.openxmlformats.org/officeDocument/2006/relationships/hyperlink" Target="../../../AppData/Roaming/Microsoft/Excel/Contemporary/Don%20Mclean/Vincent.txt" TargetMode="External"/><Relationship Id="rId20" Type="http://schemas.openxmlformats.org/officeDocument/2006/relationships/hyperlink" Target="../../../AppData/Roaming/Microsoft/Excel/Contemporary/Red%20Hot%20Chili%20Peppers/Californication.txt" TargetMode="External"/><Relationship Id="rId41" Type="http://schemas.openxmlformats.org/officeDocument/2006/relationships/hyperlink" Target="../../../AppData/Roaming/Microsoft/Excel/Contemporary/Queen/Don't%20Stop%20Me%20Now.txt" TargetMode="External"/><Relationship Id="rId62" Type="http://schemas.openxmlformats.org/officeDocument/2006/relationships/hyperlink" Target="../../../AppData/Roaming/Microsoft/Excel/Contemporary/Eric%20Hutchinson/Goodnight%20Goodbye.txt" TargetMode="External"/><Relationship Id="rId83" Type="http://schemas.openxmlformats.org/officeDocument/2006/relationships/hyperlink" Target="../../../AppData/Roaming/Microsoft/Excel/Contemporary/Christina%20Perri/Jar%20Of%20Hearts.txt" TargetMode="External"/><Relationship Id="rId179" Type="http://schemas.openxmlformats.org/officeDocument/2006/relationships/hyperlink" Target="../../../AppData/Roaming/Microsoft/Excel/Contemporary/Oasis/Wonderwall.txt" TargetMode="External"/><Relationship Id="rId190" Type="http://schemas.openxmlformats.org/officeDocument/2006/relationships/hyperlink" Target="../../../AppData/Roaming/Microsoft/Excel/Contemporary/The%20Beatles/I%20Wanna%20Hold%20Your%20Hand.txt" TargetMode="External"/><Relationship Id="rId204" Type="http://schemas.openxmlformats.org/officeDocument/2006/relationships/hyperlink" Target="../../../AppData/Roaming/Microsoft/Excel/Contemporary/Sergio%20Mendes/Pretty%20World.txt" TargetMode="External"/><Relationship Id="rId225" Type="http://schemas.openxmlformats.org/officeDocument/2006/relationships/hyperlink" Target="../../../AppData/Roaming/Microsoft/Excel/Contemporary/Eurhythmics/Sweet%20Dreams.txt" TargetMode="External"/><Relationship Id="rId246" Type="http://schemas.openxmlformats.org/officeDocument/2006/relationships/hyperlink" Target="../../../AppData/Roaming/Microsoft/Excel/Contemporary/Nickelback/Rockstar.txt" TargetMode="External"/><Relationship Id="rId267" Type="http://schemas.openxmlformats.org/officeDocument/2006/relationships/hyperlink" Target="../../../AppData/Roaming/Microsoft/Excel/Contemporary/Alicia%20Keys/If%20I%20Ain't%20Got%20You.txt" TargetMode="External"/><Relationship Id="rId288" Type="http://schemas.openxmlformats.org/officeDocument/2006/relationships/hyperlink" Target="../../../AppData/Roaming/Microsoft/Excel/Contemporary/Elvis%20Presley/Jailhouse%20Rock.txt" TargetMode="External"/><Relationship Id="rId106" Type="http://schemas.openxmlformats.org/officeDocument/2006/relationships/hyperlink" Target="../../../AppData/Roaming/Microsoft/Excel/Contemporary/Various/Moon%20River.txt" TargetMode="External"/><Relationship Id="rId127" Type="http://schemas.openxmlformats.org/officeDocument/2006/relationships/hyperlink" Target="../../../AppData/Roaming/Microsoft/Excel/Contemporary/Adele/Skyfall.txt" TargetMode="External"/><Relationship Id="rId313" Type="http://schemas.openxmlformats.org/officeDocument/2006/relationships/hyperlink" Target="../../../AppData/Roaming/Microsoft/Excel/Contemporary/Daft%20Punk/Get%20Lucky.txt" TargetMode="External"/><Relationship Id="rId10" Type="http://schemas.openxmlformats.org/officeDocument/2006/relationships/hyperlink" Target="../../../AppData/Roaming/Microsoft/Excel/Contemporary/Meghan%20Trainor/Better%20When%20I'm%20Dancing.txt" TargetMode="External"/><Relationship Id="rId31" Type="http://schemas.openxmlformats.org/officeDocument/2006/relationships/hyperlink" Target="../../../AppData/Roaming/Microsoft/Excel/Contemporary/Queen/Crazy%20Little%20Thing%20Called%20Love.txt" TargetMode="External"/><Relationship Id="rId52" Type="http://schemas.openxmlformats.org/officeDocument/2006/relationships/hyperlink" Target="../../../AppData/Roaming/Microsoft/Excel/Contemporary/Various/Fare%20Thee%20Well.txt" TargetMode="External"/><Relationship Id="rId73" Type="http://schemas.openxmlformats.org/officeDocument/2006/relationships/hyperlink" Target="../../../AppData/Roaming/Microsoft/Excel/Contemporary/Plain%20White%20T's/Hey%20There%20Delilah.txt" TargetMode="External"/><Relationship Id="rId94" Type="http://schemas.openxmlformats.org/officeDocument/2006/relationships/hyperlink" Target="../../../AppData/Roaming/Microsoft/Excel/Contemporary/Eric%20Clapton/Lonely%20Stranger.txt" TargetMode="External"/><Relationship Id="rId148" Type="http://schemas.openxmlformats.org/officeDocument/2006/relationships/hyperlink" Target="../../../AppData/Roaming/Microsoft/Excel/Contemporary/Bruno%20Mars/The%20Lazy%20Song.txt" TargetMode="External"/><Relationship Id="rId169" Type="http://schemas.openxmlformats.org/officeDocument/2006/relationships/hyperlink" Target="../../../AppData/Roaming/Microsoft/Excel/Contemporary/Avicii/Wake%20Me%20Up.txt" TargetMode="External"/><Relationship Id="rId334" Type="http://schemas.openxmlformats.org/officeDocument/2006/relationships/printerSettings" Target="../printerSettings/printerSettings1.bin"/><Relationship Id="rId4" Type="http://schemas.openxmlformats.org/officeDocument/2006/relationships/hyperlink" Target="../../../AppData/Roaming/Microsoft/Excel/Contemporary/John%20Denver/Annie's%20Song.txt" TargetMode="External"/><Relationship Id="rId180" Type="http://schemas.openxmlformats.org/officeDocument/2006/relationships/hyperlink" Target="../../../AppData/Roaming/Microsoft/Excel/Contemporary/Coldplay/Yellow.txt" TargetMode="External"/><Relationship Id="rId215" Type="http://schemas.openxmlformats.org/officeDocument/2006/relationships/hyperlink" Target="../../../AppData/Roaming/Microsoft/Excel/Contemporary/Robbie%20Williams/A%20Man%20For%20All%20Seasons.txt" TargetMode="External"/><Relationship Id="rId236" Type="http://schemas.openxmlformats.org/officeDocument/2006/relationships/hyperlink" Target="../../../AppData/Roaming/Microsoft/Excel/Contemporary/ABBA/Take%20A%20Chance%20On%20Me.txt" TargetMode="External"/><Relationship Id="rId257" Type="http://schemas.openxmlformats.org/officeDocument/2006/relationships/hyperlink" Target="../../../AppData/Roaming/Microsoft/Excel/Contemporary/James%20Blunt/1973.txt" TargetMode="External"/><Relationship Id="rId278" Type="http://schemas.openxmlformats.org/officeDocument/2006/relationships/hyperlink" Target="../../../AppData/Roaming/Microsoft/Excel/Contemporary/Stephen%20Sanchez/Until%20I%20Found%20You.txt" TargetMode="External"/><Relationship Id="rId303" Type="http://schemas.openxmlformats.org/officeDocument/2006/relationships/hyperlink" Target="../../../AppData/Roaming/Microsoft/Excel/Contemporary/Sting/Shape%20Of%20My%20Heart.txt" TargetMode="External"/><Relationship Id="rId42" Type="http://schemas.openxmlformats.org/officeDocument/2006/relationships/hyperlink" Target="../../../AppData/Roaming/Microsoft/Excel/Contemporary/Nickel%20Creek/Doubting%20Thomas.txt" TargetMode="External"/><Relationship Id="rId84" Type="http://schemas.openxmlformats.org/officeDocument/2006/relationships/hyperlink" Target="../../../AppData/Roaming/Microsoft/Excel/Contemporary/Dolly%20Parton/Jolene.txt" TargetMode="External"/><Relationship Id="rId138" Type="http://schemas.openxmlformats.org/officeDocument/2006/relationships/hyperlink" Target="../../../AppData/Roaming/Microsoft/Excel/Contemporary/Various/Sway.txt" TargetMode="External"/><Relationship Id="rId191" Type="http://schemas.openxmlformats.org/officeDocument/2006/relationships/hyperlink" Target="../../../AppData/Roaming/Microsoft/Excel/Contemporary/The%20Carpenters/Top%20Of%20The%20World.txt" TargetMode="External"/><Relationship Id="rId205" Type="http://schemas.openxmlformats.org/officeDocument/2006/relationships/hyperlink" Target="../../../AppData/Roaming/Microsoft/Excel/Contemporary/Johnny%20Tillotson/Poetry%20In%20Motion.txt" TargetMode="External"/><Relationship Id="rId247" Type="http://schemas.openxmlformats.org/officeDocument/2006/relationships/hyperlink" Target="../../../AppData/Roaming/Microsoft/Excel/Contemporary/Amy%20Winehouse/Valerie.txt" TargetMode="External"/><Relationship Id="rId107" Type="http://schemas.openxmlformats.org/officeDocument/2006/relationships/hyperlink" Target="../../../AppData/Roaming/Microsoft/Excel/Contemporary/Michael%20Learns%20To%20Rock/More%20Than%20A%20Friend.txt" TargetMode="External"/><Relationship Id="rId289" Type="http://schemas.openxmlformats.org/officeDocument/2006/relationships/hyperlink" Target="../../../AppData/Roaming/Microsoft/Excel/Contemporary/Gotye/Somebody%20That%20I%20Used%20To%20Know.txt" TargetMode="External"/><Relationship Id="rId11" Type="http://schemas.openxmlformats.org/officeDocument/2006/relationships/hyperlink" Target="../../../AppData/Roaming/Microsoft/Excel/Contemporary/Various/Bistro%20Fada.txt" TargetMode="External"/><Relationship Id="rId53" Type="http://schemas.openxmlformats.org/officeDocument/2006/relationships/hyperlink" Target="../../../AppData/Roaming/Microsoft/Excel/Contemporary/Bright%20Eyes/First%20Day%20Of%20My%20Life.txt" TargetMode="External"/><Relationship Id="rId149" Type="http://schemas.openxmlformats.org/officeDocument/2006/relationships/hyperlink" Target="../../../AppData/Roaming/Microsoft/Excel/Contemporary/Hoobastank/The%20Reason.txt" TargetMode="External"/><Relationship Id="rId314" Type="http://schemas.openxmlformats.org/officeDocument/2006/relationships/hyperlink" Target="../../../AppData/Roaming/Microsoft/Excel/Contemporary/Camila%20Cabello/Havana.txt" TargetMode="External"/><Relationship Id="rId95" Type="http://schemas.openxmlformats.org/officeDocument/2006/relationships/hyperlink" Target="../../../AppData/Roaming/Microsoft/Excel/Contemporary/Kurt%20Hunter/Long%20Goodbyes.txt" TargetMode="External"/><Relationship Id="rId160" Type="http://schemas.openxmlformats.org/officeDocument/2006/relationships/hyperlink" Target="../../../AppData/Roaming/Microsoft/Excel/Contemporary/David%20Guetta/Titanium.txt" TargetMode="External"/><Relationship Id="rId216" Type="http://schemas.openxmlformats.org/officeDocument/2006/relationships/hyperlink" Target="../../../AppData/Roaming/Microsoft/Excel/Contemporary/Eric%20Hutchinson/A%20Little%20More.txt" TargetMode="External"/><Relationship Id="rId258" Type="http://schemas.openxmlformats.org/officeDocument/2006/relationships/hyperlink" Target="../../../AppData/Roaming/Microsoft/Excel/Contemporary/Barry%20Manilow/Copacabana.txt" TargetMode="External"/><Relationship Id="rId22" Type="http://schemas.openxmlformats.org/officeDocument/2006/relationships/hyperlink" Target="../../../AppData/Roaming/Microsoft/Excel/Contemporary/George%20Michael/Careless%20Whisper.txt" TargetMode="External"/><Relationship Id="rId64" Type="http://schemas.openxmlformats.org/officeDocument/2006/relationships/hyperlink" Target="../../../AppData/Roaming/Microsoft/Excel/Contemporary/Skye%20Zentz/Grayscale.txt" TargetMode="External"/><Relationship Id="rId118" Type="http://schemas.openxmlformats.org/officeDocument/2006/relationships/hyperlink" Target="../../../AppData/Roaming/Microsoft/Excel/Contemporary/Jim%20Croce/Photographs%20And%20Memories.txt" TargetMode="External"/><Relationship Id="rId325" Type="http://schemas.openxmlformats.org/officeDocument/2006/relationships/hyperlink" Target="../../../AppData/Roaming/Microsoft/Excel/Contemporary/Whitney%20Houston/I%20Wanna%20Dance%20With%20Somebody.txt" TargetMode="External"/><Relationship Id="rId171" Type="http://schemas.openxmlformats.org/officeDocument/2006/relationships/hyperlink" Target="../../../AppData/Roaming/Microsoft/Excel/Contemporary/Louis%20Armstrong/What%20A%20Wonderful%20World.txt" TargetMode="External"/><Relationship Id="rId227" Type="http://schemas.openxmlformats.org/officeDocument/2006/relationships/hyperlink" Target="../../../AppData/Roaming/Microsoft/Excel/Contemporary/Jim%20Croce/I'll%20Have%20To%20Say%20I%20Love%20You%20In%20A%20Song.txt" TargetMode="External"/><Relationship Id="rId269" Type="http://schemas.openxmlformats.org/officeDocument/2006/relationships/hyperlink" Target="../../../AppData/Roaming/Microsoft/Excel/Contemporary/Selena%20Gomez/Love%20You%20Like%20A%20Love%20Song.txt" TargetMode="External"/><Relationship Id="rId33" Type="http://schemas.openxmlformats.org/officeDocument/2006/relationships/hyperlink" Target="../../../AppData/Roaming/Microsoft/Excel/Contemporary/Toploader/Dancing%20In%20The%20Moonlight.txt" TargetMode="External"/><Relationship Id="rId129" Type="http://schemas.openxmlformats.org/officeDocument/2006/relationships/hyperlink" Target="../../../AppData/Roaming/Microsoft/Excel/Contemporary/Adele/Someone%20Like%20You.txt" TargetMode="External"/><Relationship Id="rId280" Type="http://schemas.openxmlformats.org/officeDocument/2006/relationships/hyperlink" Target="../../../AppData/Roaming/Microsoft/Excel/Contemporary/Joni%20Mitchell/Big%20Yellow%20Taxi.txt" TargetMode="External"/><Relationship Id="rId75" Type="http://schemas.openxmlformats.org/officeDocument/2006/relationships/hyperlink" Target="../../../AppData/Roaming/Microsoft/Excel/Contemporary/Earth%20Wind%20and%20Fire/September.txt" TargetMode="External"/><Relationship Id="rId140" Type="http://schemas.openxmlformats.org/officeDocument/2006/relationships/hyperlink" Target="../../../AppData/Roaming/Microsoft/Excel/Contemporary/Dave%20Brubeck/Take%20Five.txt" TargetMode="External"/><Relationship Id="rId182" Type="http://schemas.openxmlformats.org/officeDocument/2006/relationships/hyperlink" Target="../../../AppData/Roaming/Microsoft/Excel/Contemporary/Lifehouse/You%20And%20Me.txt" TargetMode="External"/><Relationship Id="rId6" Type="http://schemas.openxmlformats.org/officeDocument/2006/relationships/hyperlink" Target="../../../AppData/Roaming/Microsoft/Excel/Contemporary/Beyonce/Ave%20Maria.txt" TargetMode="External"/><Relationship Id="rId238" Type="http://schemas.openxmlformats.org/officeDocument/2006/relationships/hyperlink" Target="../../../AppData/Roaming/Microsoft/Excel/Contemporary/ABBA/The%20Winner%20Takes%20It%20All.txt" TargetMode="External"/><Relationship Id="rId291" Type="http://schemas.openxmlformats.org/officeDocument/2006/relationships/hyperlink" Target="../../../AppData/Roaming/Microsoft/Excel/Contemporary/Ronan%20Keating/When%20You%20Say%20Nothing%20At%20All.txt" TargetMode="External"/><Relationship Id="rId305" Type="http://schemas.openxmlformats.org/officeDocument/2006/relationships/hyperlink" Target="../../../AppData/Roaming/Microsoft/Excel/Contemporary/Frank%20Sinatra/Something%20Stupid.txt" TargetMode="External"/><Relationship Id="rId44" Type="http://schemas.openxmlformats.org/officeDocument/2006/relationships/hyperlink" Target="../../../AppData/Roaming/Microsoft/Excel/Contemporary/Incubus/Drive.txt" TargetMode="External"/><Relationship Id="rId86" Type="http://schemas.openxmlformats.org/officeDocument/2006/relationships/hyperlink" Target="../../../AppData/Roaming/Microsoft/Excel/Contemporary/Bill%20Withers/Just%20The%20Two%20Of%20Us.txt" TargetMode="External"/><Relationship Id="rId151" Type="http://schemas.openxmlformats.org/officeDocument/2006/relationships/hyperlink" Target="../../../AppData/Roaming/Microsoft/Excel/Contemporary/Simon%20and%20Garfunkel/The%20Sound%20Of%20Silence.txt" TargetMode="External"/><Relationship Id="rId193" Type="http://schemas.openxmlformats.org/officeDocument/2006/relationships/hyperlink" Target="../../../AppData/Roaming/Microsoft/Excel/Contemporary/Harry%20Styles/Watermelon%20Sugar.txt" TargetMode="External"/><Relationship Id="rId207" Type="http://schemas.openxmlformats.org/officeDocument/2006/relationships/hyperlink" Target="../../../AppData/Roaming/Microsoft/Excel/Contemporary/Various/Que%20Sera%20Sera.txt" TargetMode="External"/><Relationship Id="rId249" Type="http://schemas.openxmlformats.org/officeDocument/2006/relationships/hyperlink" Target="../../../AppData/Roaming/Microsoft/Excel/Contemporary/Lorde/Royals.txt" TargetMode="External"/><Relationship Id="rId13" Type="http://schemas.openxmlformats.org/officeDocument/2006/relationships/hyperlink" Target="../../../AppData/Roaming/Microsoft/Excel/Contemporary/Looking%20Glass/Brandy.txt" TargetMode="External"/><Relationship Id="rId109" Type="http://schemas.openxmlformats.org/officeDocument/2006/relationships/hyperlink" Target="../../../AppData/Roaming/Microsoft/Excel/Contemporary/Electric%20Light%20Orchestra/Mr%20Blue%20Sky.txt" TargetMode="External"/><Relationship Id="rId260" Type="http://schemas.openxmlformats.org/officeDocument/2006/relationships/hyperlink" Target="../../../AppData/Roaming/Microsoft/Excel/Contemporary/The%20Monkees/I'm%20A%20Believer.txt" TargetMode="External"/><Relationship Id="rId316" Type="http://schemas.openxmlformats.org/officeDocument/2006/relationships/hyperlink" Target="../../../AppData/Roaming/Microsoft/Excel/Contemporary/Dua%20Lipa/Levitating.txt" TargetMode="External"/><Relationship Id="rId55" Type="http://schemas.openxmlformats.org/officeDocument/2006/relationships/hyperlink" Target="../../../AppData/Roaming/Microsoft/Excel/Contemporary/Coldplay/Fix%20You.txt" TargetMode="External"/><Relationship Id="rId97" Type="http://schemas.openxmlformats.org/officeDocument/2006/relationships/hyperlink" Target="../../../AppData/Roaming/Microsoft/Excel/Contemporary/REM/Losing%20My%20Religion.txt" TargetMode="External"/><Relationship Id="rId120" Type="http://schemas.openxmlformats.org/officeDocument/2006/relationships/hyperlink" Target="../../../AppData/Roaming/Microsoft/Excel/Contemporary/Plain%20White%20T's/Rhythm%20Of%20Love.txt" TargetMode="External"/><Relationship Id="rId162" Type="http://schemas.openxmlformats.org/officeDocument/2006/relationships/hyperlink" Target="../../../AppData/Roaming/Microsoft/Excel/Contemporary/Rihanna/Umbrella.txt" TargetMode="External"/><Relationship Id="rId218" Type="http://schemas.openxmlformats.org/officeDocument/2006/relationships/hyperlink" Target="../../../AppData/Roaming/Microsoft/Excel/Contemporary/Fleetwood%20Mac/Never%20Going%20Back%20Again.txt" TargetMode="External"/><Relationship Id="rId271" Type="http://schemas.openxmlformats.org/officeDocument/2006/relationships/hyperlink" Target="../../../AppData/Roaming/Microsoft/Excel/Contemporary/Chuck%20Berry/Johnny%20B%20Goode.txt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/../../AppData/Roaming/Microsoft/Excel/Classical/Bach,%20J.S/Violin%20Sonatas,%20Partitas/Gigue%20in%20Dm.mpeg" TargetMode="External"/><Relationship Id="rId18" Type="http://schemas.openxmlformats.org/officeDocument/2006/relationships/hyperlink" Target="../../../AppData/Roaming/Microsoft/Excel/Classical/Handel,%20G.F/HWV%20437%20Allemande.mscz" TargetMode="External"/><Relationship Id="rId26" Type="http://schemas.openxmlformats.org/officeDocument/2006/relationships/hyperlink" Target="../../../AppData/Roaming/Microsoft/Excel/Classical/Various/Stanley%20Myers%20-%20Cavatina.mp3" TargetMode="External"/><Relationship Id="rId39" Type="http://schemas.openxmlformats.org/officeDocument/2006/relationships/hyperlink" Target="../../../AppData/Roaming/Microsoft/Excel/Classical/Bach,%20J.S/Violin%20Sonatas,%20Partitas/BWV1004%20Partita2Mvt4.mscz" TargetMode="External"/><Relationship Id="rId21" Type="http://schemas.openxmlformats.org/officeDocument/2006/relationships/hyperlink" Target="../../../AppData/Roaming/Microsoft/Excel/Classical/Various/Cantabile/13%20Gymnopedie%20for%20Piano%201.mscz" TargetMode="External"/><Relationship Id="rId34" Type="http://schemas.openxmlformats.org/officeDocument/2006/relationships/hyperlink" Target="../../../AppData/Roaming/Microsoft/Excel/Classical/Various/Cantabile/5%20Arioso.mscz" TargetMode="External"/><Relationship Id="rId7" Type="http://schemas.openxmlformats.org/officeDocument/2006/relationships/hyperlink" Target="../../../AppData/Roaming/Microsoft/Excel/Classical/Bach,%20J.S/Inventions/Invention%204.mscz" TargetMode="External"/><Relationship Id="rId2" Type="http://schemas.openxmlformats.org/officeDocument/2006/relationships/hyperlink" Target="../../../AppData/Roaming/Microsoft/Excel/Classical/Bach,%20J.S/Cello%20Suites/BWV1009%20Suite3Mvt3.mscz" TargetMode="External"/><Relationship Id="rId16" Type="http://schemas.openxmlformats.org/officeDocument/2006/relationships/hyperlink" Target="../../../AppData/Roaming/Microsoft/Excel/Classical/Beethoven,%20L.v/Piano%20Sonata%208%20Mvt2%20-%20Adagio%20Cantabile%20VA%20GTR.mscz" TargetMode="External"/><Relationship Id="rId20" Type="http://schemas.openxmlformats.org/officeDocument/2006/relationships/hyperlink" Target="../../../AppData/Roaming/Microsoft/Excel/Classical/Saint-Saens/The%20Carnival%20of%20the%20Animals%20-%20The%20Swan%20(Le%20Cygne)%20easy.mscz" TargetMode="External"/><Relationship Id="rId29" Type="http://schemas.openxmlformats.org/officeDocument/2006/relationships/hyperlink" Target="../../../AppData/Roaming/Microsoft/Excel/Classical/PDFs/VARIOUS%20Tico-Tico_No_Fuba.pdf" TargetMode="External"/><Relationship Id="rId41" Type="http://schemas.openxmlformats.org/officeDocument/2006/relationships/printerSettings" Target="../printerSettings/printerSettings2.bin"/><Relationship Id="rId1" Type="http://schemas.openxmlformats.org/officeDocument/2006/relationships/hyperlink" Target="../../../AppData/Roaming/Microsoft/Excel/Classical/Bach,%20J.S/Cello%20Suites/BWV1007%20Suite1Mvt3.mscz" TargetMode="External"/><Relationship Id="rId6" Type="http://schemas.openxmlformats.org/officeDocument/2006/relationships/hyperlink" Target="../../../AppData/Roaming/Microsoft/Excel/Classical/Bach,%20J.S/Inventions/Invention%2010.mscz" TargetMode="External"/><Relationship Id="rId11" Type="http://schemas.openxmlformats.org/officeDocument/2006/relationships/hyperlink" Target="../../../AppData/Roaming/Microsoft/Excel/Classical/Bach,%20J.S/Violin%20Sonatas,%20Partitas/BWV1002%20Partita1Mvt3.mscz" TargetMode="External"/><Relationship Id="rId24" Type="http://schemas.openxmlformats.org/officeDocument/2006/relationships/hyperlink" Target="../../../AppData/Roaming/Microsoft/Excel/Classical/Various/Cantabile/11%20Estudio%206.mp3" TargetMode="External"/><Relationship Id="rId32" Type="http://schemas.openxmlformats.org/officeDocument/2006/relationships/hyperlink" Target="../../../AppData/Roaming/Microsoft/Excel/Classical/Bach,%20J.S/BWV147%20Joy%20of%20Man's%20Desiring.mscz" TargetMode="External"/><Relationship Id="rId37" Type="http://schemas.openxmlformats.org/officeDocument/2006/relationships/hyperlink" Target="../../../AppData/Roaming/Microsoft/Excel/Classical/Bach,%20J.S/BWV848%20Prelude%20for%20Piano%20No.%203.mscz" TargetMode="External"/><Relationship Id="rId40" Type="http://schemas.openxmlformats.org/officeDocument/2006/relationships/hyperlink" Target="../../../AppData/Roaming/Microsoft/Excel/Classical/Bach,%20J.S/Violin%20Sonatas,%20Partitas/Gigue%20in%20Dm.mpeg" TargetMode="External"/><Relationship Id="rId5" Type="http://schemas.openxmlformats.org/officeDocument/2006/relationships/hyperlink" Target="../../../AppData/Roaming/Microsoft/Excel/Classical/Bach,%20J.S/Inventions/Invention%201.mscz" TargetMode="External"/><Relationship Id="rId15" Type="http://schemas.openxmlformats.org/officeDocument/2006/relationships/hyperlink" Target="../../../AppData/Roaming/Microsoft/Excel/Classical/Bach,%20J.S/BWV1068%20Orchestral%20Suite%203%20-%20Air.mscz" TargetMode="External"/><Relationship Id="rId23" Type="http://schemas.openxmlformats.org/officeDocument/2006/relationships/hyperlink" Target="../../../AppData/Roaming/Microsoft/Excel/Classical/PDFs/SOR%20Estudio%206.pdf" TargetMode="External"/><Relationship Id="rId28" Type="http://schemas.openxmlformats.org/officeDocument/2006/relationships/hyperlink" Target="../../../AppData/Roaming/Microsoft/Excel/Classical/Various/Stephane%20Wrembel%20-%20Bistro%20Fada.mp3" TargetMode="External"/><Relationship Id="rId36" Type="http://schemas.openxmlformats.org/officeDocument/2006/relationships/hyperlink" Target="../../../AppData/Roaming/Microsoft/Excel/Classical/Bach,%20J.S/BWV846%20Prelude%20for%20Piano%20No.%201%20in%20C.mscz" TargetMode="External"/><Relationship Id="rId10" Type="http://schemas.openxmlformats.org/officeDocument/2006/relationships/hyperlink" Target="../../../AppData/Roaming/Microsoft/Excel/Classical/Bach,%20J.S/BWV850%20Prelude%20for%20Piano%20No.%205.mscz" TargetMode="External"/><Relationship Id="rId19" Type="http://schemas.openxmlformats.org/officeDocument/2006/relationships/hyperlink" Target="../../../AppData/Roaming/Microsoft/Excel/Classical/Mozart,%20W.A/Piano%20Sonata%2016%20'Facile'%20K545.mscz" TargetMode="External"/><Relationship Id="rId31" Type="http://schemas.openxmlformats.org/officeDocument/2006/relationships/hyperlink" Target="../../../AppData/Roaming/Microsoft/Excel/Classical/Various/Cantabile/5%20Arioso.mscz" TargetMode="External"/><Relationship Id="rId4" Type="http://schemas.openxmlformats.org/officeDocument/2006/relationships/hyperlink" Target="../../../AppData/Roaming/Microsoft/Excel/Classical/Bach,%20J.S/Goldberg%20Variations/03%20J.S.%20Bach-%20The%20Goldberg%20Variations,%20Var.%20No.%201.mp3" TargetMode="External"/><Relationship Id="rId9" Type="http://schemas.openxmlformats.org/officeDocument/2006/relationships/hyperlink" Target="../../../AppData/Roaming/Microsoft/Excel/Classical/Various/Cantabile/4%20Jesu,%20Joy%20of%20Man's%20Desiring.mp3" TargetMode="External"/><Relationship Id="rId14" Type="http://schemas.openxmlformats.org/officeDocument/2006/relationships/hyperlink" Target="../../../AppData/Roaming/Microsoft/Excel/Classical/Bach,%20J.S/Violin%20Sonatas,%20Partitas/BWV1006%20Partita3Mvt6.mscz" TargetMode="External"/><Relationship Id="rId22" Type="http://schemas.openxmlformats.org/officeDocument/2006/relationships/hyperlink" Target="../../../AppData/Roaming/Microsoft/Excel/Classical/Various/Cantabile/13%20Gymnopedie%20for%20Piano%201.mp3" TargetMode="External"/><Relationship Id="rId27" Type="http://schemas.openxmlformats.org/officeDocument/2006/relationships/hyperlink" Target="../../../AppData/Roaming/Microsoft/Excel/Classical/Various/Cantabile/12%20Recuerdos%20De%20La%20Alhambra.mp3" TargetMode="External"/><Relationship Id="rId30" Type="http://schemas.openxmlformats.org/officeDocument/2006/relationships/hyperlink" Target="../../../AppData/Roaming/Microsoft/Excel/Classical/Various/Cantabile/10%20Cantabile.mp3" TargetMode="External"/><Relationship Id="rId35" Type="http://schemas.openxmlformats.org/officeDocument/2006/relationships/hyperlink" Target="../../../AppData/Roaming/Microsoft/Excel/Classical/Various/Cantabile/5%20Arioso.mp3" TargetMode="External"/><Relationship Id="rId8" Type="http://schemas.openxmlformats.org/officeDocument/2006/relationships/hyperlink" Target="../../../AppData/Roaming/Microsoft/Excel/Classical/Bach,%20J.S/BWV147%20Joy%20of%20Man's%20Desiring.mscz" TargetMode="External"/><Relationship Id="rId3" Type="http://schemas.openxmlformats.org/officeDocument/2006/relationships/hyperlink" Target="../../../AppData/Roaming/Microsoft/Excel/Classical/Bach,%20J.S/Goldberg%20Variations/BWV988%20Variation%201.mscz" TargetMode="External"/><Relationship Id="rId12" Type="http://schemas.openxmlformats.org/officeDocument/2006/relationships/hyperlink" Target="../../../AppData/Roaming/Microsoft/Excel/Classical/Bach,%20J.S/Violin%20Sonatas,%20Partitas/BWV1004%20Partita2Mvt4.mscz" TargetMode="External"/><Relationship Id="rId17" Type="http://schemas.openxmlformats.org/officeDocument/2006/relationships/hyperlink" Target="../../../AppData/Roaming/Microsoft/Excel/Classical/Various/Cantabile/14%20Bolero.mp3" TargetMode="External"/><Relationship Id="rId25" Type="http://schemas.openxmlformats.org/officeDocument/2006/relationships/hyperlink" Target="../../../AppData/Roaming/Microsoft/Excel/Classical/Various/Stanley%20Myers%20-%20Cavatina.mscz" TargetMode="External"/><Relationship Id="rId33" Type="http://schemas.openxmlformats.org/officeDocument/2006/relationships/hyperlink" Target="../../../AppData/Roaming/Microsoft/Excel/Classical/Bach,%20J.S/BWV147%20Joy%20of%20Man's%20Desiring.mscz" TargetMode="External"/><Relationship Id="rId38" Type="http://schemas.openxmlformats.org/officeDocument/2006/relationships/hyperlink" Target="../../../AppData/Roaming/Microsoft/Excel/Classical/Bach,%20J.S/Goldberg%20Variations/BWV988%20Variation%205.mscz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/../../AppData/Roaming/Microsoft/Excel/Contemporary/Plain%20White%20T's/Hey%20There%20Delilah.txt" TargetMode="External"/><Relationship Id="rId299" Type="http://schemas.openxmlformats.org/officeDocument/2006/relationships/hyperlink" Target="../../../AppData/Roaming/Microsoft/Excel/Contemporary/Lifehouse/You%20and%20Me.txt" TargetMode="External"/><Relationship Id="rId21" Type="http://schemas.openxmlformats.org/officeDocument/2006/relationships/hyperlink" Target="../../../AppData/Roaming/Microsoft/Excel/Contemporary/Van%20Morrison/Brown%20Eyed%20Girl.txt" TargetMode="External"/><Relationship Id="rId63" Type="http://schemas.openxmlformats.org/officeDocument/2006/relationships/hyperlink" Target="../../../AppData/Roaming/Microsoft/Excel/Contemporary/Various/Dream%20A%20Little%20Dream%20of%20Me.txt" TargetMode="External"/><Relationship Id="rId159" Type="http://schemas.openxmlformats.org/officeDocument/2006/relationships/hyperlink" Target="../../../AppData/Roaming/Microsoft/Excel/Contemporary/Justin%20Bieber/Love%20Yourself.txt" TargetMode="External"/><Relationship Id="rId324" Type="http://schemas.openxmlformats.org/officeDocument/2006/relationships/hyperlink" Target="../../../AppData/Roaming/Microsoft/Excel/Contemporary/Johnny%20Tillotson/Poetry%20In%20Motion.mp3" TargetMode="External"/><Relationship Id="rId366" Type="http://schemas.openxmlformats.org/officeDocument/2006/relationships/hyperlink" Target="../../../AppData/Roaming/Microsoft/Excel/Contemporary/Dire%20Straits/Sultans%20Of%20Swing.m4a" TargetMode="External"/><Relationship Id="rId170" Type="http://schemas.openxmlformats.org/officeDocument/2006/relationships/hyperlink" Target="../../../AppData/Roaming/Microsoft/Excel/Contemporary/Various/Moon%20River.mp3" TargetMode="External"/><Relationship Id="rId226" Type="http://schemas.openxmlformats.org/officeDocument/2006/relationships/hyperlink" Target="../../../AppData/Roaming/Microsoft/Excel/Contemporary/Engelbert%20Humperdinck/Ten%20Guitars.txt" TargetMode="External"/><Relationship Id="rId268" Type="http://schemas.openxmlformats.org/officeDocument/2006/relationships/hyperlink" Target="../../../AppData/Roaming/Microsoft/Excel/Contemporary/Coldplay/Viva%20La%20Vida.txt" TargetMode="External"/><Relationship Id="rId32" Type="http://schemas.openxmlformats.org/officeDocument/2006/relationships/hyperlink" Target="../../../AppData/Roaming/Microsoft/Excel/Contemporary/James%20Blunt/Carry%20You%20Home.mp3" TargetMode="External"/><Relationship Id="rId74" Type="http://schemas.openxmlformats.org/officeDocument/2006/relationships/hyperlink" Target="../../../AppData/Roaming/Microsoft/Excel/Contemporary/Rupert%20Holmes/Escape.mp3" TargetMode="External"/><Relationship Id="rId128" Type="http://schemas.openxmlformats.org/officeDocument/2006/relationships/hyperlink" Target="../../../AppData/Roaming/Microsoft/Excel/Contemporary/Ten%20Years%20After/I'd%20Love%20To%20Change%20The%20World.mp3" TargetMode="External"/><Relationship Id="rId335" Type="http://schemas.openxmlformats.org/officeDocument/2006/relationships/hyperlink" Target="../../../AppData/Roaming/Microsoft/Excel/Contemporary/Coldplay/Adventure%20Of%20A%20Lifetime.txt" TargetMode="External"/><Relationship Id="rId377" Type="http://schemas.openxmlformats.org/officeDocument/2006/relationships/hyperlink" Target="../../../AppData/Roaming/Microsoft/Excel/Contemporary/Maroon%205/This%20Love.txt" TargetMode="External"/><Relationship Id="rId5" Type="http://schemas.openxmlformats.org/officeDocument/2006/relationships/hyperlink" Target="../../../AppData/Roaming/Microsoft/Excel/Contemporary/Robbie%20Williams/Angels.txt" TargetMode="External"/><Relationship Id="rId181" Type="http://schemas.openxmlformats.org/officeDocument/2006/relationships/hyperlink" Target="../../../AppData/Roaming/Microsoft/Excel/Contemporary/Linkin%20Park/Numb.mp3" TargetMode="External"/><Relationship Id="rId237" Type="http://schemas.openxmlformats.org/officeDocument/2006/relationships/hyperlink" Target="../../../AppData/Roaming/Microsoft/Excel/Contemporary/Simon%20and%20Garfunkel/The%20Sound%20of%20Silence.txt" TargetMode="External"/><Relationship Id="rId279" Type="http://schemas.openxmlformats.org/officeDocument/2006/relationships/hyperlink" Target="../../../AppData/Roaming/Microsoft/Excel/Contemporary/The%20Killers/When%20You%20Were%20Young.txt" TargetMode="External"/><Relationship Id="rId43" Type="http://schemas.openxmlformats.org/officeDocument/2006/relationships/hyperlink" Target="../../../AppData/Roaming/Microsoft/Excel/Contemporary/John%20Denver/Country%20Roads.txt" TargetMode="External"/><Relationship Id="rId139" Type="http://schemas.openxmlformats.org/officeDocument/2006/relationships/hyperlink" Target="../../../AppData/Roaming/Microsoft/Excel/Contemporary/Louis%20Armstrong/La%20Vie%20En%20Rose.txt" TargetMode="External"/><Relationship Id="rId290" Type="http://schemas.openxmlformats.org/officeDocument/2006/relationships/hyperlink" Target="../../../AppData/Roaming/Microsoft/Excel/Contemporary/Pink%20Floyd/Wish%20You%20Were%20Here.mp3" TargetMode="External"/><Relationship Id="rId304" Type="http://schemas.openxmlformats.org/officeDocument/2006/relationships/hyperlink" Target="../../../AppData/Roaming/Microsoft/Excel/Contemporary/James%20Blunt/You're%20Beautiful.mp3" TargetMode="External"/><Relationship Id="rId346" Type="http://schemas.openxmlformats.org/officeDocument/2006/relationships/hyperlink" Target="../../../AppData/Roaming/Microsoft/Excel/Contemporary/George%20Ezra/Budapest.mp3" TargetMode="External"/><Relationship Id="rId388" Type="http://schemas.openxmlformats.org/officeDocument/2006/relationships/hyperlink" Target="../../../AppData/Roaming/Microsoft/Excel/Contemporary/The%20Drifters/This%20Magic%20Moment.txt" TargetMode="External"/><Relationship Id="rId85" Type="http://schemas.openxmlformats.org/officeDocument/2006/relationships/hyperlink" Target="../../../AppData/Roaming/Microsoft/Excel/Contemporary/James%20Taylor/Fire%20and%20Rain.txt" TargetMode="External"/><Relationship Id="rId150" Type="http://schemas.openxmlformats.org/officeDocument/2006/relationships/hyperlink" Target="../../../AppData/Roaming/Microsoft/Excel/Contemporary/Meghan%20Trainor/Like%20I'm%20Gonna%20Lose%20You.txt" TargetMode="External"/><Relationship Id="rId192" Type="http://schemas.openxmlformats.org/officeDocument/2006/relationships/hyperlink" Target="../../../AppData/Roaming/Microsoft/Excel/Contemporary/Plain%20White%20T's/Rhythm%20of%20Love.txt" TargetMode="External"/><Relationship Id="rId206" Type="http://schemas.openxmlformats.org/officeDocument/2006/relationships/hyperlink" Target="../../../AppData/Roaming/Microsoft/Excel/Contemporary/Adele/Someone%20Like%20You.txt" TargetMode="External"/><Relationship Id="rId248" Type="http://schemas.openxmlformats.org/officeDocument/2006/relationships/hyperlink" Target="../../../AppData/Roaming/Microsoft/Excel/Contemporary/Michael%20Jackson/The%20Way%20You%20Make%20Me%20Feel.mp3" TargetMode="External"/><Relationship Id="rId12" Type="http://schemas.openxmlformats.org/officeDocument/2006/relationships/hyperlink" Target="../../../AppData/Roaming/Microsoft/Excel/Contemporary/Simon%20and%20Garfunkel/April%20Come%20She%20Will.mp3" TargetMode="External"/><Relationship Id="rId108" Type="http://schemas.openxmlformats.org/officeDocument/2006/relationships/hyperlink" Target="../../../AppData/Roaming/Microsoft/Excel/Contemporary/Pharell%20Williams/Happy.mp3" TargetMode="External"/><Relationship Id="rId315" Type="http://schemas.openxmlformats.org/officeDocument/2006/relationships/hyperlink" Target="../../../AppData/Roaming/Microsoft/Excel/Contemporary/The%20Beatles/Twist%20And%20Shout.txt" TargetMode="External"/><Relationship Id="rId357" Type="http://schemas.openxmlformats.org/officeDocument/2006/relationships/hyperlink" Target="../../../AppData/Roaming/Microsoft/Excel/Contemporary/The%20Killers/Mr%20Brightside.mp3" TargetMode="External"/><Relationship Id="rId54" Type="http://schemas.openxmlformats.org/officeDocument/2006/relationships/hyperlink" Target="../../../AppData/Roaming/Microsoft/Excel/Contemporary/The%20Avett%20Brothers/Die%20Die%20Die.txt" TargetMode="External"/><Relationship Id="rId96" Type="http://schemas.openxmlformats.org/officeDocument/2006/relationships/hyperlink" Target="../../../AppData/Roaming/Microsoft/Excel/Contemporary/John%20Mayer/Free%20Falling.txt" TargetMode="External"/><Relationship Id="rId161" Type="http://schemas.openxmlformats.org/officeDocument/2006/relationships/hyperlink" Target="../../../AppData/Roaming/Microsoft/Excel/Contemporary/Jason%20Mraz/Lucky.mp3" TargetMode="External"/><Relationship Id="rId217" Type="http://schemas.openxmlformats.org/officeDocument/2006/relationships/hyperlink" Target="../../../AppData/Roaming/Microsoft/Excel/Contemporary/Dire%20Straits/Sultans%20Of%20Swing.txt" TargetMode="External"/><Relationship Id="rId259" Type="http://schemas.openxmlformats.org/officeDocument/2006/relationships/hyperlink" Target="../../../AppData/Roaming/Microsoft/Excel/Contemporary/Various/Under%20The%20Sea.txt" TargetMode="External"/><Relationship Id="rId23" Type="http://schemas.openxmlformats.org/officeDocument/2006/relationships/hyperlink" Target="../../../AppData/Roaming/Microsoft/Excel/Contemporary/Jason%20Mraz/Butterfly.txt" TargetMode="External"/><Relationship Id="rId119" Type="http://schemas.openxmlformats.org/officeDocument/2006/relationships/hyperlink" Target="../../../AppData/Roaming/Microsoft/Excel/Contemporary/Train/Hey,%20Soul%20Sister.txt" TargetMode="External"/><Relationship Id="rId270" Type="http://schemas.openxmlformats.org/officeDocument/2006/relationships/hyperlink" Target="../../../AppData/Roaming/Microsoft/Excel/Contemporary/Avicii/Wake%20Me%20Up.txt" TargetMode="External"/><Relationship Id="rId326" Type="http://schemas.openxmlformats.org/officeDocument/2006/relationships/hyperlink" Target="../../../AppData/Roaming/Microsoft/Excel/Contemporary/LP/Lost%20On%20You.txt" TargetMode="External"/><Relationship Id="rId65" Type="http://schemas.openxmlformats.org/officeDocument/2006/relationships/hyperlink" Target="../../../AppData/Roaming/Microsoft/Excel/Contemporary/Incubus/Drive.txt" TargetMode="External"/><Relationship Id="rId130" Type="http://schemas.openxmlformats.org/officeDocument/2006/relationships/hyperlink" Target="../../../AppData/Roaming/Microsoft/Excel/Contemporary/The%20Rembrandts/I'll%20Be%20There%20For%20You.mp3" TargetMode="External"/><Relationship Id="rId368" Type="http://schemas.openxmlformats.org/officeDocument/2006/relationships/hyperlink" Target="../../../AppData/Roaming/Microsoft/Excel/Contemporary/Jason%20Mraz/I'm%20Yours.mp3" TargetMode="External"/><Relationship Id="rId172" Type="http://schemas.openxmlformats.org/officeDocument/2006/relationships/hyperlink" Target="../../../AppData/Roaming/Microsoft/Excel/Contemporary/Extreme/More%20Than%20Words.mp3" TargetMode="External"/><Relationship Id="rId228" Type="http://schemas.openxmlformats.org/officeDocument/2006/relationships/hyperlink" Target="../../../AppData/Roaming/Microsoft/Excel/Contemporary/Simon%20and%20Garfunkel/The%20Boxer.mp3" TargetMode="External"/><Relationship Id="rId281" Type="http://schemas.openxmlformats.org/officeDocument/2006/relationships/hyperlink" Target="../../../AppData/Roaming/Microsoft/Excel/Contemporary/Dido/White%20Flag.txt" TargetMode="External"/><Relationship Id="rId337" Type="http://schemas.openxmlformats.org/officeDocument/2006/relationships/hyperlink" Target="../../../AppData/Roaming/Microsoft/Excel/Contemporary/Robbie%20Williams/A%20Man%20For%20All%20Seasons.webm" TargetMode="External"/><Relationship Id="rId34" Type="http://schemas.openxmlformats.org/officeDocument/2006/relationships/hyperlink" Target="../../../AppData/Roaming/Microsoft/Excel/Contemporary/Matt%20Simons/Catch%20and%20Release.mp3" TargetMode="External"/><Relationship Id="rId76" Type="http://schemas.openxmlformats.org/officeDocument/2006/relationships/hyperlink" Target="../../../AppData/Roaming/Microsoft/Excel/Contemporary/Eric%20Hutchinson/Every%20Little%20Thing%20She%20Does%20Is%20Magic.mp3" TargetMode="External"/><Relationship Id="rId141" Type="http://schemas.openxmlformats.org/officeDocument/2006/relationships/hyperlink" Target="../../../AppData/Roaming/Microsoft/Excel/Contemporary/Eric%20Clapton/Layla.txt" TargetMode="External"/><Relationship Id="rId379" Type="http://schemas.openxmlformats.org/officeDocument/2006/relationships/hyperlink" Target="../../../AppData/Roaming/Microsoft/Excel/Contemporary/Peter,%20Paul,%20and%20Mary/Blowin'%20In%20The%20Wind.txt" TargetMode="External"/><Relationship Id="rId7" Type="http://schemas.openxmlformats.org/officeDocument/2006/relationships/hyperlink" Target="../../../AppData/Roaming/Microsoft/Excel/Contemporary/John%20Denver/Annie's%20Song.txt" TargetMode="External"/><Relationship Id="rId183" Type="http://schemas.openxmlformats.org/officeDocument/2006/relationships/hyperlink" Target="../../../AppData/Roaming/Microsoft/Excel/Contemporary/Blue/One%20Love.txt" TargetMode="External"/><Relationship Id="rId239" Type="http://schemas.openxmlformats.org/officeDocument/2006/relationships/hyperlink" Target="../../../AppData/Roaming/Microsoft/Excel/Contemporary/Blondie/The%20Tide%20Is%20High.txt" TargetMode="External"/><Relationship Id="rId250" Type="http://schemas.openxmlformats.org/officeDocument/2006/relationships/hyperlink" Target="../../../AppData/Roaming/Microsoft/Excel/Contemporary/Ed%20Sheeran/Thinking%20Out%20Loud.mp3" TargetMode="External"/><Relationship Id="rId292" Type="http://schemas.openxmlformats.org/officeDocument/2006/relationships/hyperlink" Target="../../../AppData/Roaming/Microsoft/Excel/Contemporary/Eric%20Clapton/Wonderful%20Tonight.mp3" TargetMode="External"/><Relationship Id="rId306" Type="http://schemas.openxmlformats.org/officeDocument/2006/relationships/hyperlink" Target="../../../AppData/Roaming/Microsoft/Excel/Contemporary/Elton%20John/Your%20Song.txt" TargetMode="External"/><Relationship Id="rId45" Type="http://schemas.openxmlformats.org/officeDocument/2006/relationships/hyperlink" Target="../../../AppData/Roaming/Microsoft/Excel/Contemporary/Gnarls%20Barkley/Crazy.mp3" TargetMode="External"/><Relationship Id="rId87" Type="http://schemas.openxmlformats.org/officeDocument/2006/relationships/hyperlink" Target="../../../AppData/Roaming/Microsoft/Excel/Contemporary/Owl%20City/Fireflies.txt" TargetMode="External"/><Relationship Id="rId110" Type="http://schemas.openxmlformats.org/officeDocument/2006/relationships/hyperlink" Target="../../../AppData/Roaming/Microsoft/Excel/Contemporary/CCR/Have%20You%20Ever%20Seen%20The%20Rain.mp3" TargetMode="External"/><Relationship Id="rId348" Type="http://schemas.openxmlformats.org/officeDocument/2006/relationships/hyperlink" Target="../../../AppData/Roaming/Microsoft/Excel/Contemporary/Katy%20Perry/Chained%20To%20The%20Rhythm.mp3" TargetMode="External"/><Relationship Id="rId152" Type="http://schemas.openxmlformats.org/officeDocument/2006/relationships/hyperlink" Target="../../../AppData/Roaming/Microsoft/Excel/Contemporary/Eric%20Clapton/Lonely%20Stranger.mp3" TargetMode="External"/><Relationship Id="rId194" Type="http://schemas.openxmlformats.org/officeDocument/2006/relationships/hyperlink" Target="../../../AppData/Roaming/Microsoft/Excel/Contemporary/Eric%20Hutchinson/Rock%20'n'%20Roll.txt" TargetMode="External"/><Relationship Id="rId208" Type="http://schemas.openxmlformats.org/officeDocument/2006/relationships/hyperlink" Target="../../../AppData/Roaming/Microsoft/Excel/Contemporary/Nickel%20Creek/Spit%20On%20A%20Stranger.txt" TargetMode="External"/><Relationship Id="rId261" Type="http://schemas.openxmlformats.org/officeDocument/2006/relationships/hyperlink" Target="../../../AppData/Roaming/Microsoft/Excel/Contemporary/Sting/Until.mp3" TargetMode="External"/><Relationship Id="rId14" Type="http://schemas.openxmlformats.org/officeDocument/2006/relationships/hyperlink" Target="../../../AppData/Roaming/Microsoft/Excel/Classical/Various/Stephane%20Wrembel%20-%20Bistro%20Fada.mp3" TargetMode="External"/><Relationship Id="rId56" Type="http://schemas.openxmlformats.org/officeDocument/2006/relationships/hyperlink" Target="../../../AppData/Roaming/Microsoft/Excel/Contemporary/James%20Taylor/Don't%20Let%20Me%20Be%20Lonely%20Tonight.txt" TargetMode="External"/><Relationship Id="rId317" Type="http://schemas.openxmlformats.org/officeDocument/2006/relationships/hyperlink" Target="../../../AppData/Roaming/Microsoft/Excel/Contemporary/Paolo%20Nutini/New%20Shoes.txt" TargetMode="External"/><Relationship Id="rId359" Type="http://schemas.openxmlformats.org/officeDocument/2006/relationships/hyperlink" Target="../../../AppData/Roaming/Microsoft/Excel/Contemporary/Fleetwood%20Mac/Never%20Going%20Back%20Again.mp3" TargetMode="External"/><Relationship Id="rId98" Type="http://schemas.openxmlformats.org/officeDocument/2006/relationships/hyperlink" Target="../../../AppData/Roaming/Microsoft/Excel/Contemporary/Maroon%205/Give%20A%20Little%20More.mp3" TargetMode="External"/><Relationship Id="rId121" Type="http://schemas.openxmlformats.org/officeDocument/2006/relationships/hyperlink" Target="../../../AppData/Roaming/Microsoft/Excel/Contemporary/Earth%20Wind%20and%20Fire/September.txt" TargetMode="External"/><Relationship Id="rId163" Type="http://schemas.openxmlformats.org/officeDocument/2006/relationships/hyperlink" Target="../../../AppData/Roaming/Microsoft/Excel/Contemporary/Adele/Make%20You%20Feel%20My%20Love.txt" TargetMode="External"/><Relationship Id="rId219" Type="http://schemas.openxmlformats.org/officeDocument/2006/relationships/hyperlink" Target="../../../AppData/Roaming/Microsoft/Excel/Contemporary/Lazlo%20Bane/Superman.mp3" TargetMode="External"/><Relationship Id="rId370" Type="http://schemas.openxmlformats.org/officeDocument/2006/relationships/hyperlink" Target="../../../AppData/Roaming/Microsoft/Excel/Contemporary/Peter,%20Paul,%20and%20Mary/Five%20Hundred%20Miles.m4a" TargetMode="External"/><Relationship Id="rId230" Type="http://schemas.openxmlformats.org/officeDocument/2006/relationships/hyperlink" Target="../../../AppData/Roaming/Microsoft/Excel/Contemporary/Mumford%20And%20Sons/The%20Cave.mp3" TargetMode="External"/><Relationship Id="rId25" Type="http://schemas.openxmlformats.org/officeDocument/2006/relationships/hyperlink" Target="../../../AppData/Roaming/Microsoft/Excel/Contemporary/Everly%20Brothers/Bye%20Bye%20Love.txt" TargetMode="External"/><Relationship Id="rId67" Type="http://schemas.openxmlformats.org/officeDocument/2006/relationships/hyperlink" Target="../../../AppData/Roaming/Microsoft/Excel/Contemporary/Kansas/Dust%20in%20the%20Wind.txt" TargetMode="External"/><Relationship Id="rId272" Type="http://schemas.openxmlformats.org/officeDocument/2006/relationships/hyperlink" Target="../../../AppData/Roaming/Microsoft/Excel/Contemporary/Green%20Day/Wake%20Me%20Up%20When%20September%20Ends.mp3" TargetMode="External"/><Relationship Id="rId328" Type="http://schemas.openxmlformats.org/officeDocument/2006/relationships/hyperlink" Target="../../../AppData/Roaming/Microsoft/Excel/Contemporary/Everly%20Brothers/All%20I%20Have%20To%20Do%20Is%20Dream.mp3" TargetMode="External"/><Relationship Id="rId132" Type="http://schemas.openxmlformats.org/officeDocument/2006/relationships/hyperlink" Target="../../../AppData/Roaming/Microsoft/Excel/Contemporary/The%20Monkees/I'm%20a%20Believer.mp3" TargetMode="External"/><Relationship Id="rId174" Type="http://schemas.openxmlformats.org/officeDocument/2006/relationships/hyperlink" Target="../../../AppData/Roaming/Microsoft/Excel/Contemporary/Electric%20Light%20Orchestra/Mr%20Blue%20Sky.mp3" TargetMode="External"/><Relationship Id="rId381" Type="http://schemas.openxmlformats.org/officeDocument/2006/relationships/hyperlink" Target="../../../AppData/Roaming/Microsoft/Excel/Contemporary/Looking%20Glass/Brandy.mp3" TargetMode="External"/><Relationship Id="rId241" Type="http://schemas.openxmlformats.org/officeDocument/2006/relationships/hyperlink" Target="../../../AppData/Roaming/Microsoft/Excel/Contemporary/Bob%20Dylan/The%20Times%20They%20Are%20A-Changin'.txt" TargetMode="External"/><Relationship Id="rId36" Type="http://schemas.openxmlformats.org/officeDocument/2006/relationships/hyperlink" Target="../../../AppData/Roaming/Microsoft/Excel/Contemporary/Semisonic/Closing%20Time.txt" TargetMode="External"/><Relationship Id="rId283" Type="http://schemas.openxmlformats.org/officeDocument/2006/relationships/hyperlink" Target="../../../AppData/Roaming/Microsoft/Excel/Contemporary/Chris%20Isaak/Wicked%20Game.txt" TargetMode="External"/><Relationship Id="rId339" Type="http://schemas.openxmlformats.org/officeDocument/2006/relationships/hyperlink" Target="../../../AppData/Roaming/Microsoft/Excel/Contemporary/Eric%20Hutchinson/A%20Little%20More%20(acoustic).mp3" TargetMode="External"/><Relationship Id="rId78" Type="http://schemas.openxmlformats.org/officeDocument/2006/relationships/hyperlink" Target="../../../AppData/Roaming/Microsoft/Excel/Contemporary/Michael%20Buble/Everything.mp3" TargetMode="External"/><Relationship Id="rId101" Type="http://schemas.openxmlformats.org/officeDocument/2006/relationships/hyperlink" Target="../../../AppData/Roaming/Microsoft/Excel/Contemporary/Frank%20Sinatra/Got%20You%20Under%20My%20Skin.txt" TargetMode="External"/><Relationship Id="rId143" Type="http://schemas.openxmlformats.org/officeDocument/2006/relationships/hyperlink" Target="../../../AppData/Roaming/Microsoft/Excel/Contemporary/John%20Denver/Leaving%20On%20A%20Jet%20Plane.txt" TargetMode="External"/><Relationship Id="rId185" Type="http://schemas.openxmlformats.org/officeDocument/2006/relationships/hyperlink" Target="../../../AppData/Roaming/Microsoft/Excel/Contemporary/Coldplay/Paradise.txt" TargetMode="External"/><Relationship Id="rId350" Type="http://schemas.openxmlformats.org/officeDocument/2006/relationships/hyperlink" Target="../../../AppData/Roaming/Microsoft/Excel/Contemporary/John%20Denver/Country%20Roads.mp3" TargetMode="External"/><Relationship Id="rId9" Type="http://schemas.openxmlformats.org/officeDocument/2006/relationships/hyperlink" Target="../../../AppData/Roaming/Microsoft/Excel/Contemporary/Michael%20Franks/Antonio's%20Song.txt" TargetMode="External"/><Relationship Id="rId210" Type="http://schemas.openxmlformats.org/officeDocument/2006/relationships/hyperlink" Target="../../../AppData/Roaming/Microsoft/Excel/Contemporary/Ben%20E%20King/Stand%20By%20Me.txt" TargetMode="External"/><Relationship Id="rId252" Type="http://schemas.openxmlformats.org/officeDocument/2006/relationships/hyperlink" Target="../../../AppData/Roaming/Microsoft/Excel/Contemporary/Eva%20Cassidy/Time%20After%20Time.mp3" TargetMode="External"/><Relationship Id="rId294" Type="http://schemas.openxmlformats.org/officeDocument/2006/relationships/hyperlink" Target="../../../AppData/Roaming/Microsoft/Excel/Contemporary/Oasis/Wonderwall.mp3" TargetMode="External"/><Relationship Id="rId308" Type="http://schemas.openxmlformats.org/officeDocument/2006/relationships/hyperlink" Target="../../../AppData/Roaming/Microsoft/Excel/Contemporary/The%20Cranberries/Zombie.txt" TargetMode="External"/><Relationship Id="rId47" Type="http://schemas.openxmlformats.org/officeDocument/2006/relationships/hyperlink" Target="../../../AppData/Roaming/Microsoft/Excel/Contemporary/Queen/Crazy%20Little%20Thing%20Called%20Love.mp3" TargetMode="External"/><Relationship Id="rId89" Type="http://schemas.openxmlformats.org/officeDocument/2006/relationships/hyperlink" Target="../../../AppData/Roaming/Microsoft/Excel/Contemporary/Bright%20Eyes/First%20Day%20Of%20My%20Life.txt" TargetMode="External"/><Relationship Id="rId112" Type="http://schemas.openxmlformats.org/officeDocument/2006/relationships/hyperlink" Target="../../../AppData/Roaming/Microsoft/Excel/Contemporary/Lionel%20Richie/Hello.txt" TargetMode="External"/><Relationship Id="rId154" Type="http://schemas.openxmlformats.org/officeDocument/2006/relationships/hyperlink" Target="../../../AppData/Roaming/Microsoft/Excel/Contemporary/Kurt%20Hunter/Long%20Goodbyes.mp3" TargetMode="External"/><Relationship Id="rId361" Type="http://schemas.openxmlformats.org/officeDocument/2006/relationships/hyperlink" Target="../../../AppData/Roaming/Microsoft/Excel/Contemporary/Neil%20Sedaka/Oh%20Carol.mp3" TargetMode="External"/><Relationship Id="rId196" Type="http://schemas.openxmlformats.org/officeDocument/2006/relationships/hyperlink" Target="../../../AppData/Roaming/Microsoft/Excel/Contemporary/Elton%20John/Rocket%20Man.txt" TargetMode="External"/><Relationship Id="rId200" Type="http://schemas.openxmlformats.org/officeDocument/2006/relationships/hyperlink" Target="../../../AppData/Roaming/Microsoft/Excel/Contemporary/Plan%20B/She%20Said.mp3" TargetMode="External"/><Relationship Id="rId382" Type="http://schemas.openxmlformats.org/officeDocument/2006/relationships/hyperlink" Target="../../../AppData/Roaming/Microsoft/Excel/Contemporary/Coldplay/Green%20Eyes.txt" TargetMode="External"/><Relationship Id="rId16" Type="http://schemas.openxmlformats.org/officeDocument/2006/relationships/hyperlink" Target="../../../AppData/Roaming/Microsoft/Excel/Contemporary/The%20Beatles/Blackbird.mp3" TargetMode="External"/><Relationship Id="rId221" Type="http://schemas.openxmlformats.org/officeDocument/2006/relationships/hyperlink" Target="../../../AppData/Roaming/Microsoft/Excel/Contemporary/Coldplay/Swallowed%20in%20the%20Sea.mp3" TargetMode="External"/><Relationship Id="rId242" Type="http://schemas.openxmlformats.org/officeDocument/2006/relationships/hyperlink" Target="../../../AppData/Roaming/Microsoft/Excel/Contemporary/Bob%20Dylan/The%20Times%20They%20Are%20A-Changin'.mp3" TargetMode="External"/><Relationship Id="rId263" Type="http://schemas.openxmlformats.org/officeDocument/2006/relationships/hyperlink" Target="../../../AppData/Roaming/Microsoft/Excel/Contemporary/Billy%20Joel/Uptown%20Girl.mp3" TargetMode="External"/><Relationship Id="rId284" Type="http://schemas.openxmlformats.org/officeDocument/2006/relationships/hyperlink" Target="../../../AppData/Roaming/Microsoft/Excel/Contemporary/Chris%20Isaak/Wicked%20Game.m4a" TargetMode="External"/><Relationship Id="rId319" Type="http://schemas.openxmlformats.org/officeDocument/2006/relationships/hyperlink" Target="../../../AppData/Roaming/Microsoft/Excel/Contemporary/Van%20Morrison/Brown%20Eyed%20Girl.mp3" TargetMode="External"/><Relationship Id="rId37" Type="http://schemas.openxmlformats.org/officeDocument/2006/relationships/hyperlink" Target="../../../AppData/Roaming/Microsoft/Excel/Contemporary/Semisonic/Closing%20Time.mp3" TargetMode="External"/><Relationship Id="rId58" Type="http://schemas.openxmlformats.org/officeDocument/2006/relationships/hyperlink" Target="../../../AppData/Roaming/Microsoft/Excel/Contemporary/Oasis/Don't%20Look%20Back%20In%20Anger.txt" TargetMode="External"/><Relationship Id="rId79" Type="http://schemas.openxmlformats.org/officeDocument/2006/relationships/hyperlink" Target="../../../AppData/Roaming/Microsoft/Excel/Contemporary/Bread/Everything%20I%20Own.txt" TargetMode="External"/><Relationship Id="rId102" Type="http://schemas.openxmlformats.org/officeDocument/2006/relationships/hyperlink" Target="../../../AppData/Roaming/Microsoft/Excel/Contemporary/Frank%20Sinatra/Got%20You%20Under%20My%20Skin.mp3" TargetMode="External"/><Relationship Id="rId123" Type="http://schemas.openxmlformats.org/officeDocument/2006/relationships/hyperlink" Target="../../../AppData/Roaming/Microsoft/Excel/Contemporary/Coldplay/Hymn%20For%20The%20Weekend.mp3" TargetMode="External"/><Relationship Id="rId144" Type="http://schemas.openxmlformats.org/officeDocument/2006/relationships/hyperlink" Target="../../../AppData/Roaming/Microsoft/Excel/Contemporary/John%20Denver/Leaving%20On%20A%20Jet%20Plane.mp3" TargetMode="External"/><Relationship Id="rId330" Type="http://schemas.openxmlformats.org/officeDocument/2006/relationships/hyperlink" Target="../../../AppData/Roaming/Microsoft/Excel/Contemporary/McFly/All%20About%20You.mp3" TargetMode="External"/><Relationship Id="rId90" Type="http://schemas.openxmlformats.org/officeDocument/2006/relationships/hyperlink" Target="../../../AppData/Roaming/Microsoft/Excel/Contemporary/Bright%20Eyes/First%20Day%20Of%20My%20Life.mp3" TargetMode="External"/><Relationship Id="rId165" Type="http://schemas.openxmlformats.org/officeDocument/2006/relationships/hyperlink" Target="../../../AppData/Roaming/Microsoft/Excel/Contemporary/Tom%20Petty%20and%20The%20Heartbreakers/Mary%20Jane's%20Last%20Dance.txt" TargetMode="External"/><Relationship Id="rId186" Type="http://schemas.openxmlformats.org/officeDocument/2006/relationships/hyperlink" Target="../../../AppData/Roaming/Microsoft/Excel/Contemporary/Coldplay/Paradise.mp3" TargetMode="External"/><Relationship Id="rId351" Type="http://schemas.openxmlformats.org/officeDocument/2006/relationships/hyperlink" Target="../../../AppData/Roaming/Microsoft/Excel/Contemporary/Oasis/Don't%20Look%20Back%20In%20Anger.mp3" TargetMode="External"/><Relationship Id="rId372" Type="http://schemas.openxmlformats.org/officeDocument/2006/relationships/hyperlink" Target="../../../AppData/Roaming/Microsoft/Excel/Contemporary/Red%20Hot%20Chili%20Peppers/Snow.webm" TargetMode="External"/><Relationship Id="rId211" Type="http://schemas.openxmlformats.org/officeDocument/2006/relationships/hyperlink" Target="../../../AppData/Roaming/Microsoft/Excel/Contemporary/Shaggy/Strength%20Of%20A%20Woman.txt" TargetMode="External"/><Relationship Id="rId232" Type="http://schemas.openxmlformats.org/officeDocument/2006/relationships/hyperlink" Target="../../../AppData/Roaming/Microsoft/Excel/Contemporary/The%20Steve%20Miller%20Band/The%20Joker.mp3" TargetMode="External"/><Relationship Id="rId253" Type="http://schemas.openxmlformats.org/officeDocument/2006/relationships/hyperlink" Target="../../../AppData/Roaming/Microsoft/Excel/Contemporary/Jim%20Croce/Time%20In%20A%20Bottle.txt" TargetMode="External"/><Relationship Id="rId274" Type="http://schemas.openxmlformats.org/officeDocument/2006/relationships/hyperlink" Target="../../../AppData/Roaming/Microsoft/Excel/Contemporary/Hugh%20Grant/Way%20Back%20Into%20Love.mp3" TargetMode="External"/><Relationship Id="rId295" Type="http://schemas.openxmlformats.org/officeDocument/2006/relationships/hyperlink" Target="../../../AppData/Roaming/Microsoft/Excel/Contemporary/Coldplay/Yellow.txt" TargetMode="External"/><Relationship Id="rId309" Type="http://schemas.openxmlformats.org/officeDocument/2006/relationships/hyperlink" Target="../../../AppData/Roaming/Microsoft/Excel/Contemporary/The%20Beatles/I%20Wanna%20Hold%20Your%20Hand.txt" TargetMode="External"/><Relationship Id="rId27" Type="http://schemas.openxmlformats.org/officeDocument/2006/relationships/hyperlink" Target="../../../AppData/Roaming/Microsoft/Excel/Contemporary/Red%20Hot%20Chili%20Peppers/Californication.txt" TargetMode="External"/><Relationship Id="rId48" Type="http://schemas.openxmlformats.org/officeDocument/2006/relationships/hyperlink" Target="../../../AppData/Roaming/Microsoft/Excel/Contemporary/Toploader/Dancing%20in%20the%20Moonlight.txt" TargetMode="External"/><Relationship Id="rId69" Type="http://schemas.openxmlformats.org/officeDocument/2006/relationships/hyperlink" Target="../../../AppData/Roaming/Microsoft/Excel/Contemporary/The%20Penguins/Earth%20Angel.txt" TargetMode="External"/><Relationship Id="rId113" Type="http://schemas.openxmlformats.org/officeDocument/2006/relationships/hyperlink" Target="../../../AppData/Roaming/Microsoft/Excel/Contemporary/3%20Doors%20Down/Here%20Without%20You.txt" TargetMode="External"/><Relationship Id="rId134" Type="http://schemas.openxmlformats.org/officeDocument/2006/relationships/hyperlink" Target="../../../AppData/Roaming/Microsoft/Excel/Contemporary/Bread/If.mp3" TargetMode="External"/><Relationship Id="rId320" Type="http://schemas.openxmlformats.org/officeDocument/2006/relationships/hyperlink" Target="../../../AppData/Roaming/Microsoft/Excel/Contemporary/Neil%20Sedaka/Calendar%20Girl.mp3" TargetMode="External"/><Relationship Id="rId80" Type="http://schemas.openxmlformats.org/officeDocument/2006/relationships/hyperlink" Target="../../../AppData/Roaming/Microsoft/Excel/Contemporary/Bread/Everything%20I%20Own.mp3" TargetMode="External"/><Relationship Id="rId155" Type="http://schemas.openxmlformats.org/officeDocument/2006/relationships/hyperlink" Target="../../../AppData/Roaming/Microsoft/Excel/Contemporary/Doobie%20Brothers/Long%20Train%20Running.txt" TargetMode="External"/><Relationship Id="rId176" Type="http://schemas.openxmlformats.org/officeDocument/2006/relationships/hyperlink" Target="../../../AppData/Roaming/Microsoft/Excel/Contemporary/Westlife/My%20Love.mp3" TargetMode="External"/><Relationship Id="rId197" Type="http://schemas.openxmlformats.org/officeDocument/2006/relationships/hyperlink" Target="../../../AppData/Roaming/Microsoft/Excel/Contemporary/Adele/Rolling%20In%20The%20Deep.txt" TargetMode="External"/><Relationship Id="rId341" Type="http://schemas.openxmlformats.org/officeDocument/2006/relationships/hyperlink" Target="../../../AppData/Roaming/Microsoft/Excel/Contemporary/James%20Blunt/1973.txt" TargetMode="External"/><Relationship Id="rId362" Type="http://schemas.openxmlformats.org/officeDocument/2006/relationships/hyperlink" Target="../../../AppData/Roaming/Microsoft/Excel/Contemporary/Stevie%20Wonder/Part-Time%20Lover.mp3" TargetMode="External"/><Relationship Id="rId383" Type="http://schemas.openxmlformats.org/officeDocument/2006/relationships/hyperlink" Target="../../../AppData/Roaming/Microsoft/Excel/Contemporary/Coldplay/Green%20Eyes.mp3" TargetMode="External"/><Relationship Id="rId201" Type="http://schemas.openxmlformats.org/officeDocument/2006/relationships/hyperlink" Target="../../../AppData/Roaming/Microsoft/Excel/Contemporary/Maroon%205/She%20Will%20Be%20Loved.txt" TargetMode="External"/><Relationship Id="rId222" Type="http://schemas.openxmlformats.org/officeDocument/2006/relationships/hyperlink" Target="../../../AppData/Roaming/Microsoft/Excel/Contemporary/Guns%20n%20Roses/Sweet%20Child%20Of%20Mine.txt" TargetMode="External"/><Relationship Id="rId243" Type="http://schemas.openxmlformats.org/officeDocument/2006/relationships/hyperlink" Target="../../../AppData/Roaming/Microsoft/Excel/Contemporary/Ingrid%20Michaelson/The%20Way%20I%20Am.txt" TargetMode="External"/><Relationship Id="rId264" Type="http://schemas.openxmlformats.org/officeDocument/2006/relationships/hyperlink" Target="../../../AppData/Roaming/Microsoft/Excel/Contemporary/Owl%20City/Vanilla%20Twilight.txt" TargetMode="External"/><Relationship Id="rId285" Type="http://schemas.openxmlformats.org/officeDocument/2006/relationships/hyperlink" Target="../../../AppData/Roaming/Microsoft/Excel/Contemporary/Cat%20Stevens/Wild%20World.txt" TargetMode="External"/><Relationship Id="rId17" Type="http://schemas.openxmlformats.org/officeDocument/2006/relationships/hyperlink" Target="../../../AppData/Roaming/Microsoft/Excel/Contemporary/Looking%20Glass/Brandy.txt" TargetMode="External"/><Relationship Id="rId38" Type="http://schemas.openxmlformats.org/officeDocument/2006/relationships/hyperlink" Target="../../../AppData/Roaming/Microsoft/Excel/Contemporary/Bryan%20Adams/Cloud%20Number%20Nine.txt" TargetMode="External"/><Relationship Id="rId59" Type="http://schemas.openxmlformats.org/officeDocument/2006/relationships/hyperlink" Target="../../../AppData/Roaming/Microsoft/Excel/Contemporary/Queen/Don't%20Stop%20Me%20Now.txt" TargetMode="External"/><Relationship Id="rId103" Type="http://schemas.openxmlformats.org/officeDocument/2006/relationships/hyperlink" Target="../../../AppData/Roaming/Microsoft/Excel/Contemporary/Bread/The%20Guitar%20Man.txt" TargetMode="External"/><Relationship Id="rId124" Type="http://schemas.openxmlformats.org/officeDocument/2006/relationships/hyperlink" Target="../../../AppData/Roaming/Microsoft/Excel/Contemporary/The%20Beatles/I%20Saw%20Her%20Standing%20There.txt" TargetMode="External"/><Relationship Id="rId310" Type="http://schemas.openxmlformats.org/officeDocument/2006/relationships/hyperlink" Target="../../../AppData/Roaming/Microsoft/Excel/Contemporary/The%20Carpenters/Top%20Of%20The%20World.txt" TargetMode="External"/><Relationship Id="rId70" Type="http://schemas.openxmlformats.org/officeDocument/2006/relationships/hyperlink" Target="../../../AppData/Roaming/Microsoft/Excel/Contemporary/The%20Penguins/Earth%20Angel.mp3" TargetMode="External"/><Relationship Id="rId91" Type="http://schemas.openxmlformats.org/officeDocument/2006/relationships/hyperlink" Target="../../../AppData/Roaming/Microsoft/Excel/Contemporary/Peter,%20Paul,%20and%20Mary/Five%20Hundred%20Miles.txt" TargetMode="External"/><Relationship Id="rId145" Type="http://schemas.openxmlformats.org/officeDocument/2006/relationships/hyperlink" Target="../../../AppData/Roaming/Microsoft/Excel/Contemporary/Fool's%20Garden/Lemon%20Tree.txt" TargetMode="External"/><Relationship Id="rId166" Type="http://schemas.openxmlformats.org/officeDocument/2006/relationships/hyperlink" Target="../../../AppData/Roaming/Microsoft/Excel/Contemporary/Tom%20Petty%20and%20The%20Heartbreakers/Mary%20Jane's%20Last%20Dance.mp3" TargetMode="External"/><Relationship Id="rId187" Type="http://schemas.openxmlformats.org/officeDocument/2006/relationships/hyperlink" Target="../../../AppData/Roaming/Microsoft/Excel/Contemporary/Stevie%20Wonder/Part-Time%20Lover.txt" TargetMode="External"/><Relationship Id="rId331" Type="http://schemas.openxmlformats.org/officeDocument/2006/relationships/hyperlink" Target="../../../AppData/Roaming/Microsoft/Excel/Contemporary/McFly/All%20About%20You.txt" TargetMode="External"/><Relationship Id="rId352" Type="http://schemas.openxmlformats.org/officeDocument/2006/relationships/hyperlink" Target="../../../AppData/Roaming/Microsoft/Excel/Contemporary/John%20Mayer/Free%20Falling.mp3" TargetMode="External"/><Relationship Id="rId373" Type="http://schemas.openxmlformats.org/officeDocument/2006/relationships/hyperlink" Target="../../../AppData/Roaming/Microsoft/Excel/Contemporary/Coldplay/Clocks.txt" TargetMode="External"/><Relationship Id="rId1" Type="http://schemas.openxmlformats.org/officeDocument/2006/relationships/hyperlink" Target="../../../AppData/Roaming/Microsoft/Excel/Contemporary/Smash%20Mouth/All%20Star.txt" TargetMode="External"/><Relationship Id="rId212" Type="http://schemas.openxmlformats.org/officeDocument/2006/relationships/hyperlink" Target="../../../AppData/Roaming/Microsoft/Excel/Contemporary/Shaggy/Strength%20Of%20A%20Woman.mp3" TargetMode="External"/><Relationship Id="rId233" Type="http://schemas.openxmlformats.org/officeDocument/2006/relationships/hyperlink" Target="../../../AppData/Roaming/Microsoft/Excel/Contemporary/Bruno%20Mars/The%20Lazy%20Song.txt" TargetMode="External"/><Relationship Id="rId254" Type="http://schemas.openxmlformats.org/officeDocument/2006/relationships/hyperlink" Target="../../../AppData/Roaming/Microsoft/Excel/Contemporary/Jim%20Croce/Time%20In%20A%20Bottle.mp3" TargetMode="External"/><Relationship Id="rId28" Type="http://schemas.openxmlformats.org/officeDocument/2006/relationships/hyperlink" Target="../../../AppData/Roaming/Microsoft/Excel/Contemporary/Elvis%20Presley/Can't%20Help%20Falling%20In%20Love.txt" TargetMode="External"/><Relationship Id="rId49" Type="http://schemas.openxmlformats.org/officeDocument/2006/relationships/hyperlink" Target="../../../AppData/Roaming/Microsoft/Excel/Contemporary/Toploader/Dancing%20in%20the%20Moonlight.mp3" TargetMode="External"/><Relationship Id="rId114" Type="http://schemas.openxmlformats.org/officeDocument/2006/relationships/hyperlink" Target="../../../AppData/Roaming/Microsoft/Excel/Contemporary/3%20Doors%20Down/Here%20Without%20You.mp3" TargetMode="External"/><Relationship Id="rId275" Type="http://schemas.openxmlformats.org/officeDocument/2006/relationships/hyperlink" Target="../../../AppData/Roaming/Microsoft/Excel/Contemporary/Louis%20Armstrong/What%20A%20Wonderful%20World.txt" TargetMode="External"/><Relationship Id="rId296" Type="http://schemas.openxmlformats.org/officeDocument/2006/relationships/hyperlink" Target="../../../AppData/Roaming/Microsoft/Excel/Contemporary/Coldplay/Yellow.mp3" TargetMode="External"/><Relationship Id="rId300" Type="http://schemas.openxmlformats.org/officeDocument/2006/relationships/hyperlink" Target="../../../AppData/Roaming/Microsoft/Excel/Contemporary/Lifehouse/You%20and%20Me.mp3" TargetMode="External"/><Relationship Id="rId60" Type="http://schemas.openxmlformats.org/officeDocument/2006/relationships/hyperlink" Target="../../../AppData/Roaming/Microsoft/Excel/Contemporary/Queen/Don't%20Stop%20Me%20Now%20(cover).mp3" TargetMode="External"/><Relationship Id="rId81" Type="http://schemas.openxmlformats.org/officeDocument/2006/relationships/hyperlink" Target="../../../AppData/Roaming/Microsoft/Excel/Contemporary/George%20Michael/Faith.txt" TargetMode="External"/><Relationship Id="rId135" Type="http://schemas.openxmlformats.org/officeDocument/2006/relationships/hyperlink" Target="../../../AppData/Roaming/Microsoft/Excel/Contemporary/Peter,%20Paul,%20and%20Mary/If%20I%20Had%20A%20Hammer.txt" TargetMode="External"/><Relationship Id="rId156" Type="http://schemas.openxmlformats.org/officeDocument/2006/relationships/hyperlink" Target="../../../AppData/Roaming/Microsoft/Excel/Contemporary/Doobie%20Brothers/Long%20Train%20Running.mp3" TargetMode="External"/><Relationship Id="rId177" Type="http://schemas.openxmlformats.org/officeDocument/2006/relationships/hyperlink" Target="../../../AppData/Roaming/Microsoft/Excel/Contemporary/Moody%20Blues/Nights%20In%20White%20Satin.txt" TargetMode="External"/><Relationship Id="rId198" Type="http://schemas.openxmlformats.org/officeDocument/2006/relationships/hyperlink" Target="../../../AppData/Roaming/Microsoft/Excel/Contemporary/The%20White%20Stripes/Seven%20Nation%20Army.txt" TargetMode="External"/><Relationship Id="rId321" Type="http://schemas.openxmlformats.org/officeDocument/2006/relationships/hyperlink" Target="../../../AppData/Roaming/Microsoft/Excel/Contemporary/Green%20Day/Good%20Riddance.txt" TargetMode="External"/><Relationship Id="rId342" Type="http://schemas.openxmlformats.org/officeDocument/2006/relationships/hyperlink" Target="../../../AppData/Roaming/Microsoft/Excel/Contemporary/The%20Eagles/Hotel%20California.txt" TargetMode="External"/><Relationship Id="rId363" Type="http://schemas.openxmlformats.org/officeDocument/2006/relationships/hyperlink" Target="../../../AppData/Roaming/Microsoft/Excel/Contemporary/Jessie%20J/Price%20Tag.mp3" TargetMode="External"/><Relationship Id="rId384" Type="http://schemas.openxmlformats.org/officeDocument/2006/relationships/hyperlink" Target="../../../AppData/Roaming/Microsoft/Excel/Contemporary/Norah%20Jones/Don't%20Know%20Why.txt" TargetMode="External"/><Relationship Id="rId202" Type="http://schemas.openxmlformats.org/officeDocument/2006/relationships/hyperlink" Target="../../../AppData/Roaming/Microsoft/Excel/Contemporary/Maroon%205/She%20Will%20Be%20Loved.mp3" TargetMode="External"/><Relationship Id="rId223" Type="http://schemas.openxmlformats.org/officeDocument/2006/relationships/hyperlink" Target="../../../AppData/Roaming/Microsoft/Excel/Contemporary/Dave%20Brubeck/Take%20Five.txt" TargetMode="External"/><Relationship Id="rId244" Type="http://schemas.openxmlformats.org/officeDocument/2006/relationships/hyperlink" Target="../../../AppData/Roaming/Microsoft/Excel/Contemporary/Ingrid%20Michaelson/The%20Way%20I%20Am.mp3" TargetMode="External"/><Relationship Id="rId18" Type="http://schemas.openxmlformats.org/officeDocument/2006/relationships/hyperlink" Target="../../../AppData/Roaming/Microsoft/Excel/Contemporary/Various/Brasileirinho.txt" TargetMode="External"/><Relationship Id="rId39" Type="http://schemas.openxmlformats.org/officeDocument/2006/relationships/hyperlink" Target="../../../AppData/Roaming/Microsoft/Excel/Contemporary/Bryan%20Adams/Cloud%20Number%20Nine.mp3" TargetMode="External"/><Relationship Id="rId265" Type="http://schemas.openxmlformats.org/officeDocument/2006/relationships/hyperlink" Target="../../../AppData/Roaming/Microsoft/Excel/Contemporary/Owl%20City/Vanilla%20Twilight.mp3" TargetMode="External"/><Relationship Id="rId286" Type="http://schemas.openxmlformats.org/officeDocument/2006/relationships/hyperlink" Target="../../../AppData/Roaming/Microsoft/Excel/Contemporary/Cat%20Stevens/Wild%20World.mp3" TargetMode="External"/><Relationship Id="rId50" Type="http://schemas.openxmlformats.org/officeDocument/2006/relationships/hyperlink" Target="../../../AppData/Roaming/Microsoft/Excel/Contemporary/ABBA/Dancing%20Queen.txt" TargetMode="External"/><Relationship Id="rId104" Type="http://schemas.openxmlformats.org/officeDocument/2006/relationships/hyperlink" Target="../../../AppData/Roaming/Microsoft/Excel/Contemporary/Bread/The%20Guitar%20Man.mp3" TargetMode="External"/><Relationship Id="rId125" Type="http://schemas.openxmlformats.org/officeDocument/2006/relationships/hyperlink" Target="../../../AppData/Roaming/Microsoft/Excel/Contemporary/Death%20Cab%20for%20Cutie/I%20Will%20Follow%20You%20Into%20The%20Dark.txt" TargetMode="External"/><Relationship Id="rId146" Type="http://schemas.openxmlformats.org/officeDocument/2006/relationships/hyperlink" Target="../../../AppData/Roaming/Microsoft/Excel/Contemporary/Fool's%20Garden/Lemon%20Tree.mp3" TargetMode="External"/><Relationship Id="rId167" Type="http://schemas.openxmlformats.org/officeDocument/2006/relationships/hyperlink" Target="../../../AppData/Roaming/Microsoft/Excel/Contemporary/The%20Beatles/Michelle.txt" TargetMode="External"/><Relationship Id="rId188" Type="http://schemas.openxmlformats.org/officeDocument/2006/relationships/hyperlink" Target="../../../AppData/Roaming/Microsoft/Excel/Contemporary/Jim%20Croce/Photographs%20And%20Memories.txt" TargetMode="External"/><Relationship Id="rId311" Type="http://schemas.openxmlformats.org/officeDocument/2006/relationships/hyperlink" Target="../../../AppData/Roaming/Microsoft/Excel/Contemporary/Red%20Hot%20Chili%20Peppers/Under%20The%20Bridge.txt" TargetMode="External"/><Relationship Id="rId332" Type="http://schemas.openxmlformats.org/officeDocument/2006/relationships/hyperlink" Target="../../../AppData/Roaming/Microsoft/Excel/Contemporary/Toto/Africa.mp3" TargetMode="External"/><Relationship Id="rId353" Type="http://schemas.openxmlformats.org/officeDocument/2006/relationships/hyperlink" Target="../../../AppData/Roaming/Microsoft/Excel/Contemporary/Neil%20Young/Heart%20Of%20Gold.mp3" TargetMode="External"/><Relationship Id="rId374" Type="http://schemas.openxmlformats.org/officeDocument/2006/relationships/hyperlink" Target="../../../AppData/Roaming/Microsoft/Excel/Contemporary/Coldplay/Clocks.mp3" TargetMode="External"/><Relationship Id="rId71" Type="http://schemas.openxmlformats.org/officeDocument/2006/relationships/hyperlink" Target="../../../AppData/Roaming/Microsoft/Excel/Contemporary/The%20Beatles/Eight%20Days%20A%20Week.txt" TargetMode="External"/><Relationship Id="rId92" Type="http://schemas.openxmlformats.org/officeDocument/2006/relationships/hyperlink" Target="../../../AppData/Roaming/Microsoft/Excel/Contemporary/Iron%20and%20Wine/Flightless%20Bird%20American%20Mouth.txt" TargetMode="External"/><Relationship Id="rId213" Type="http://schemas.openxmlformats.org/officeDocument/2006/relationships/hyperlink" Target="../../../AppData/Roaming/Microsoft/Excel/Contemporary/Stealers%20Wheel/Stuck%20In%20The%20Middle%20With%20You.txt" TargetMode="External"/><Relationship Id="rId234" Type="http://schemas.openxmlformats.org/officeDocument/2006/relationships/hyperlink" Target="../../../AppData/Roaming/Microsoft/Excel/Contemporary/Bruno%20Mars/The%20Lazy%20Song.mp3" TargetMode="External"/><Relationship Id="rId2" Type="http://schemas.openxmlformats.org/officeDocument/2006/relationships/hyperlink" Target="../../../AppData/Roaming/Microsoft/Excel/Contemporary/Smash%20Mouth/All%20Star.mp3" TargetMode="External"/><Relationship Id="rId29" Type="http://schemas.openxmlformats.org/officeDocument/2006/relationships/hyperlink" Target="../../../AppData/Roaming/Microsoft/Excel/Contemporary/George%20Michael/Careless%20Whisper.txt" TargetMode="External"/><Relationship Id="rId255" Type="http://schemas.openxmlformats.org/officeDocument/2006/relationships/hyperlink" Target="../../../AppData/Roaming/Microsoft/Excel/Contemporary/David%20Guetta/Titanium.txt" TargetMode="External"/><Relationship Id="rId276" Type="http://schemas.openxmlformats.org/officeDocument/2006/relationships/hyperlink" Target="../../../AppData/Roaming/Microsoft/Excel/Contemporary/Louis%20Armstrong/What%20A%20Wonderful%20World.mp3" TargetMode="External"/><Relationship Id="rId297" Type="http://schemas.openxmlformats.org/officeDocument/2006/relationships/hyperlink" Target="../../../AppData/Roaming/Microsoft/Excel/Contemporary/The%20Beatles/Yesterday.txt" TargetMode="External"/><Relationship Id="rId40" Type="http://schemas.openxmlformats.org/officeDocument/2006/relationships/hyperlink" Target="../../../AppData/Roaming/Microsoft/Excel/Contemporary/Norah%20Jones/Come%20Away%20With%20Me.txt" TargetMode="External"/><Relationship Id="rId115" Type="http://schemas.openxmlformats.org/officeDocument/2006/relationships/hyperlink" Target="../../../AppData/Roaming/Microsoft/Excel/Contemporary/The%20Beatles/Hey%20Jude.txt" TargetMode="External"/><Relationship Id="rId136" Type="http://schemas.openxmlformats.org/officeDocument/2006/relationships/hyperlink" Target="../../../AppData/Roaming/Microsoft/Excel/Contemporary/Peter,%20Paul,%20and%20Mary/If%20I%20Had%20A%20Hammer.mp3" TargetMode="External"/><Relationship Id="rId157" Type="http://schemas.openxmlformats.org/officeDocument/2006/relationships/hyperlink" Target="../../../AppData/Roaming/Microsoft/Excel/Contemporary/REM/Losing%20My%20Religion.txt" TargetMode="External"/><Relationship Id="rId178" Type="http://schemas.openxmlformats.org/officeDocument/2006/relationships/hyperlink" Target="../../../AppData/Roaming/Microsoft/Excel/Contemporary/The%20Beatles/Norwegian%20Wood.txt" TargetMode="External"/><Relationship Id="rId301" Type="http://schemas.openxmlformats.org/officeDocument/2006/relationships/hyperlink" Target="../../../AppData/Roaming/Microsoft/Excel/Contemporary/Bryan%20Adams/You%20Belong%20To%20Me.txt" TargetMode="External"/><Relationship Id="rId322" Type="http://schemas.openxmlformats.org/officeDocument/2006/relationships/hyperlink" Target="../../../AppData/Roaming/Microsoft/Excel/Contemporary/Engelbert%20Humperdinck/Quando%20Quando%20Quando.txt" TargetMode="External"/><Relationship Id="rId343" Type="http://schemas.openxmlformats.org/officeDocument/2006/relationships/hyperlink" Target="../../../AppData/Roaming/Microsoft/Excel/Contemporary/The%20Eagles/Hotel%20California.mp3" TargetMode="External"/><Relationship Id="rId364" Type="http://schemas.openxmlformats.org/officeDocument/2006/relationships/hyperlink" Target="../../../AppData/Roaming/Microsoft/Excel/Contemporary/Engelbert%20Humperdinck/Quando%20Quando%20Quando.mp3" TargetMode="External"/><Relationship Id="rId61" Type="http://schemas.openxmlformats.org/officeDocument/2006/relationships/hyperlink" Target="../../../AppData/Roaming/Microsoft/Excel/Contemporary/Nickel%20Creek/Doubting%20Thomas.txt" TargetMode="External"/><Relationship Id="rId82" Type="http://schemas.openxmlformats.org/officeDocument/2006/relationships/hyperlink" Target="../../../AppData/Roaming/Microsoft/Excel/Contemporary/George%20Michael/Faith.mp3" TargetMode="External"/><Relationship Id="rId199" Type="http://schemas.openxmlformats.org/officeDocument/2006/relationships/hyperlink" Target="../../../AppData/Roaming/Microsoft/Excel/Contemporary/Plan%20B/She%20Said.txt" TargetMode="External"/><Relationship Id="rId203" Type="http://schemas.openxmlformats.org/officeDocument/2006/relationships/hyperlink" Target="../../../AppData/Roaming/Microsoft/Excel/Contemporary/Sade/Smooth%20Operator.txt" TargetMode="External"/><Relationship Id="rId385" Type="http://schemas.openxmlformats.org/officeDocument/2006/relationships/hyperlink" Target="../../../AppData/Roaming/Microsoft/Excel/Contemporary/Norah%20Jones/Don't%20Know%20Why.mp3" TargetMode="External"/><Relationship Id="rId19" Type="http://schemas.openxmlformats.org/officeDocument/2006/relationships/hyperlink" Target="../../../AppData/Roaming/Microsoft/Excel/Contemporary/Deep%20Blue%20Something/Breakfast%20At%20Tiffany's.txt" TargetMode="External"/><Relationship Id="rId224" Type="http://schemas.openxmlformats.org/officeDocument/2006/relationships/hyperlink" Target="../../../AppData/Roaming/Microsoft/Excel/Contemporary/Eric%20Clapton/Tears%20in%20Heaven.txt" TargetMode="External"/><Relationship Id="rId245" Type="http://schemas.openxmlformats.org/officeDocument/2006/relationships/hyperlink" Target="../../../AppData/Roaming/Microsoft/Excel/Contemporary/Frank%20Sinatra/The%20Way%20You%20Look%20Tonight.txt" TargetMode="External"/><Relationship Id="rId266" Type="http://schemas.openxmlformats.org/officeDocument/2006/relationships/hyperlink" Target="../../../AppData/Roaming/Microsoft/Excel/Contemporary/Shocking%20Blue/Venus.txt" TargetMode="External"/><Relationship Id="rId287" Type="http://schemas.openxmlformats.org/officeDocument/2006/relationships/hyperlink" Target="../../../AppData/Roaming/Microsoft/Excel/Contemporary/James%20Blunt/Wisemen.txt" TargetMode="External"/><Relationship Id="rId30" Type="http://schemas.openxmlformats.org/officeDocument/2006/relationships/hyperlink" Target="../../../AppData/Roaming/Microsoft/Excel/Contemporary/George%20Michael/Careless%20Whisper.mp3" TargetMode="External"/><Relationship Id="rId105" Type="http://schemas.openxmlformats.org/officeDocument/2006/relationships/hyperlink" Target="../../../AppData/Roaming/Microsoft/Excel/Contemporary/Jeff%20Buckley/Hallelujah.txt" TargetMode="External"/><Relationship Id="rId126" Type="http://schemas.openxmlformats.org/officeDocument/2006/relationships/hyperlink" Target="../../../AppData/Roaming/Microsoft/Excel/Contemporary/Death%20Cab%20for%20Cutie/I%20Will%20Follow%20You%20Into%20The%20Dark.mp3" TargetMode="External"/><Relationship Id="rId147" Type="http://schemas.openxmlformats.org/officeDocument/2006/relationships/hyperlink" Target="../../../AppData/Roaming/Microsoft/Excel/Contemporary/Passenger/Let%20Her%20Go.txt" TargetMode="External"/><Relationship Id="rId168" Type="http://schemas.openxmlformats.org/officeDocument/2006/relationships/hyperlink" Target="../../../AppData/Roaming/Microsoft/Excel/Contemporary/The%20Beatles/Michelle.mp3" TargetMode="External"/><Relationship Id="rId312" Type="http://schemas.openxmlformats.org/officeDocument/2006/relationships/hyperlink" Target="../../../AppData/Roaming/Microsoft/Excel/Contemporary/Harry%20Styles/Watermelon%20Sugar.txt" TargetMode="External"/><Relationship Id="rId333" Type="http://schemas.openxmlformats.org/officeDocument/2006/relationships/hyperlink" Target="../../../AppData/Roaming/Microsoft/Excel/Contemporary/Toto/Africa.txt" TargetMode="External"/><Relationship Id="rId354" Type="http://schemas.openxmlformats.org/officeDocument/2006/relationships/hyperlink" Target="../../../AppData/Roaming/Microsoft/Excel/Contemporary/The%20Beatles/I%20Saw%20Her%20Standing%20There.mp3" TargetMode="External"/><Relationship Id="rId51" Type="http://schemas.openxmlformats.org/officeDocument/2006/relationships/hyperlink" Target="../../../AppData/Roaming/Microsoft/Excel/Contemporary/ABBA/Dancing%20Queen.mp3" TargetMode="External"/><Relationship Id="rId72" Type="http://schemas.openxmlformats.org/officeDocument/2006/relationships/hyperlink" Target="../../../AppData/Roaming/Microsoft/Excel/Contemporary/The%20Beatles/Eight%20Days%20A%20Week.mp3" TargetMode="External"/><Relationship Id="rId93" Type="http://schemas.openxmlformats.org/officeDocument/2006/relationships/hyperlink" Target="../../../AppData/Roaming/Microsoft/Excel/Contemporary/Iron%20and%20Wine/Flightless%20Bird%20American%20Mouth.m4a" TargetMode="External"/><Relationship Id="rId189" Type="http://schemas.openxmlformats.org/officeDocument/2006/relationships/hyperlink" Target="../../../AppData/Roaming/Microsoft/Excel/Contemporary/Jim%20Croce/Photographs%20And%20Memories.mp3" TargetMode="External"/><Relationship Id="rId375" Type="http://schemas.openxmlformats.org/officeDocument/2006/relationships/hyperlink" Target="../../../AppData/Roaming/Microsoft/Excel/Contemporary/JJ%20Cale/After%20Midnight.txt" TargetMode="External"/><Relationship Id="rId3" Type="http://schemas.openxmlformats.org/officeDocument/2006/relationships/hyperlink" Target="../../../AppData/Roaming/Microsoft/Excel/Contemporary/Juice%20Newton/Angel%20of%20the%20Morning.txt" TargetMode="External"/><Relationship Id="rId214" Type="http://schemas.openxmlformats.org/officeDocument/2006/relationships/hyperlink" Target="../../../AppData/Roaming/Microsoft/Excel/Contemporary/Stealers%20Wheel/Stuck%20In%20The%20Middle%20With%20You.mp3" TargetMode="External"/><Relationship Id="rId235" Type="http://schemas.openxmlformats.org/officeDocument/2006/relationships/hyperlink" Target="../../../AppData/Roaming/Microsoft/Excel/Contemporary/Coldplay/The%20Scientist.txt" TargetMode="External"/><Relationship Id="rId256" Type="http://schemas.openxmlformats.org/officeDocument/2006/relationships/hyperlink" Target="../../../AppData/Roaming/Microsoft/Excel/Contemporary/Mr%20Big/To%20Be%20With%20You.txt" TargetMode="External"/><Relationship Id="rId277" Type="http://schemas.openxmlformats.org/officeDocument/2006/relationships/hyperlink" Target="../../../AppData/Roaming/Microsoft/Excel/Contemporary/4%20Non%20Blondes/What's%20Up.txt" TargetMode="External"/><Relationship Id="rId298" Type="http://schemas.openxmlformats.org/officeDocument/2006/relationships/hyperlink" Target="../../../AppData/Roaming/Microsoft/Excel/Contemporary/The%20Beatles/Yesterday.mp3" TargetMode="External"/><Relationship Id="rId116" Type="http://schemas.openxmlformats.org/officeDocument/2006/relationships/hyperlink" Target="../../../AppData/Roaming/Microsoft/Excel/Contemporary/The%20Beatles/Hey%20Jude.mp3" TargetMode="External"/><Relationship Id="rId137" Type="http://schemas.openxmlformats.org/officeDocument/2006/relationships/hyperlink" Target="../../../AppData/Roaming/Microsoft/Excel/Contemporary/Lori%20Lieberman/Killing%20Me%20Softly.txt" TargetMode="External"/><Relationship Id="rId158" Type="http://schemas.openxmlformats.org/officeDocument/2006/relationships/hyperlink" Target="../../../AppData/Roaming/Microsoft/Excel/Contemporary/REM/Losing%20My%20Religion.mp3" TargetMode="External"/><Relationship Id="rId302" Type="http://schemas.openxmlformats.org/officeDocument/2006/relationships/hyperlink" Target="../../../AppData/Roaming/Microsoft/Excel/Contemporary/Bryan%20Adams/You%20Belong%20To%20Me.mp3" TargetMode="External"/><Relationship Id="rId323" Type="http://schemas.openxmlformats.org/officeDocument/2006/relationships/hyperlink" Target="../../../AppData/Roaming/Microsoft/Excel/Contemporary/Jessie%20J/Price%20Tag.txt" TargetMode="External"/><Relationship Id="rId344" Type="http://schemas.openxmlformats.org/officeDocument/2006/relationships/hyperlink" Target="../../../AppData/Roaming/Microsoft/Excel/Contemporary/Earth%20Wind%20and%20Fire/September.mp3" TargetMode="External"/><Relationship Id="rId20" Type="http://schemas.openxmlformats.org/officeDocument/2006/relationships/hyperlink" Target="../../../AppData/Roaming/Microsoft/Excel/Contemporary/Deep%20Blue%20Something/Breakfast%20At%20Tiffany's.mp3" TargetMode="External"/><Relationship Id="rId41" Type="http://schemas.openxmlformats.org/officeDocument/2006/relationships/hyperlink" Target="../../../AppData/Roaming/Microsoft/Excel/Contemporary/Norah%20Jones/Come%20Away%20With%20Me.mp3" TargetMode="External"/><Relationship Id="rId62" Type="http://schemas.openxmlformats.org/officeDocument/2006/relationships/hyperlink" Target="../../../AppData/Roaming/Microsoft/Excel/Contemporary/Nickel%20Creek/Doubting%20Thomas.mp3" TargetMode="External"/><Relationship Id="rId83" Type="http://schemas.openxmlformats.org/officeDocument/2006/relationships/hyperlink" Target="../../../AppData/Roaming/Microsoft/Excel/Contemporary/Various/Fare%20Thee%20Well.txt" TargetMode="External"/><Relationship Id="rId179" Type="http://schemas.openxmlformats.org/officeDocument/2006/relationships/hyperlink" Target="../../../AppData/Roaming/Microsoft/Excel/Contemporary/The%20Beatles/Norwegian%20Wood.mp3" TargetMode="External"/><Relationship Id="rId365" Type="http://schemas.openxmlformats.org/officeDocument/2006/relationships/hyperlink" Target="../../../AppData/Roaming/Microsoft/Excel/Contemporary/Guns%20n%20Roses/Sweet%20Child%20Of%20Mine.mp3" TargetMode="External"/><Relationship Id="rId386" Type="http://schemas.openxmlformats.org/officeDocument/2006/relationships/hyperlink" Target="../../../AppData/Roaming/Microsoft/Excel/Contemporary/Johnny%20Cash/Ring%20Of%20Fire.txt" TargetMode="External"/><Relationship Id="rId190" Type="http://schemas.openxmlformats.org/officeDocument/2006/relationships/hyperlink" Target="../../../AppData/Roaming/Microsoft/Excel/Contemporary/Billy%20Joel/Piano%20Man.txt" TargetMode="External"/><Relationship Id="rId204" Type="http://schemas.openxmlformats.org/officeDocument/2006/relationships/hyperlink" Target="../../../AppData/Roaming/Microsoft/Excel/Contemporary/Sade/Smooth%20Operator.mp3" TargetMode="External"/><Relationship Id="rId225" Type="http://schemas.openxmlformats.org/officeDocument/2006/relationships/hyperlink" Target="../../../AppData/Roaming/Microsoft/Excel/Contemporary/Eric%20Clapton/Tears%20in%20Heaven.mp3" TargetMode="External"/><Relationship Id="rId246" Type="http://schemas.openxmlformats.org/officeDocument/2006/relationships/hyperlink" Target="../../../AppData/Roaming/Microsoft/Excel/Contemporary/Frank%20Sinatra/The%20Way%20You%20Look%20Tonight.m4a" TargetMode="External"/><Relationship Id="rId267" Type="http://schemas.openxmlformats.org/officeDocument/2006/relationships/hyperlink" Target="../../../AppData/Roaming/Microsoft/Excel/Contemporary/Shocking%20Blue/Venus.mp3" TargetMode="External"/><Relationship Id="rId288" Type="http://schemas.openxmlformats.org/officeDocument/2006/relationships/hyperlink" Target="../../../AppData/Roaming/Microsoft/Excel/Contemporary/James%20Blunt/Wisemen.mp3" TargetMode="External"/><Relationship Id="rId106" Type="http://schemas.openxmlformats.org/officeDocument/2006/relationships/hyperlink" Target="../../../AppData/Roaming/Microsoft/Excel/Contemporary/Jeff%20Buckley/Hallelujah.mp3" TargetMode="External"/><Relationship Id="rId127" Type="http://schemas.openxmlformats.org/officeDocument/2006/relationships/hyperlink" Target="../../../AppData/Roaming/Microsoft/Excel/Contemporary/Ten%20Years%20After/I'd%20Love%20To%20Change%20The%20World.txt" TargetMode="External"/><Relationship Id="rId313" Type="http://schemas.openxmlformats.org/officeDocument/2006/relationships/hyperlink" Target="../../../AppData/Roaming/Microsoft/Excel/Contemporary/The%20Weeknd/Blinding%20Lights.txt" TargetMode="External"/><Relationship Id="rId10" Type="http://schemas.openxmlformats.org/officeDocument/2006/relationships/hyperlink" Target="../../../AppData/Roaming/Microsoft/Excel/Contemporary/Michael%20Franks/Antonio's%20Song.mp3" TargetMode="External"/><Relationship Id="rId31" Type="http://schemas.openxmlformats.org/officeDocument/2006/relationships/hyperlink" Target="../../../AppData/Roaming/Microsoft/Excel/Contemporary/James%20Blunt/Carry%20You%20Home.txt" TargetMode="External"/><Relationship Id="rId52" Type="http://schemas.openxmlformats.org/officeDocument/2006/relationships/hyperlink" Target="../../../AppData/Roaming/Microsoft/Excel/Contemporary/John%20Mayer/Daughters.txt" TargetMode="External"/><Relationship Id="rId73" Type="http://schemas.openxmlformats.org/officeDocument/2006/relationships/hyperlink" Target="../../../AppData/Roaming/Microsoft/Excel/Contemporary/Rupert%20Holmes/Escape.txt" TargetMode="External"/><Relationship Id="rId94" Type="http://schemas.openxmlformats.org/officeDocument/2006/relationships/hyperlink" Target="../../../AppData/Roaming/Microsoft/Excel/Contemporary/Frank%20Sinatra/Fly%20Me%20To%20The%20Moon.txt" TargetMode="External"/><Relationship Id="rId148" Type="http://schemas.openxmlformats.org/officeDocument/2006/relationships/hyperlink" Target="../../../AppData/Roaming/Microsoft/Excel/Contemporary/Passenger/Let%20Her%20Go.mp3" TargetMode="External"/><Relationship Id="rId169" Type="http://schemas.openxmlformats.org/officeDocument/2006/relationships/hyperlink" Target="../../../AppData/Roaming/Microsoft/Excel/Contemporary/Various/Moon%20River.txt" TargetMode="External"/><Relationship Id="rId334" Type="http://schemas.openxmlformats.org/officeDocument/2006/relationships/hyperlink" Target="../../../AppData/Roaming/Microsoft/Excel/Contemporary/Coldplay/Adventure%20Of%20A%20Lifetime.mp3" TargetMode="External"/><Relationship Id="rId355" Type="http://schemas.openxmlformats.org/officeDocument/2006/relationships/hyperlink" Target="../../../AppData/Roaming/Microsoft/Excel/Contemporary/The%20Beatles/I%20Wanna%20Hold%20Your%20Hand.mp3" TargetMode="External"/><Relationship Id="rId376" Type="http://schemas.openxmlformats.org/officeDocument/2006/relationships/hyperlink" Target="../../../AppData/Roaming/Microsoft/Excel/Contemporary/JJ%20Cale/After%20Midnight.m4a" TargetMode="External"/><Relationship Id="rId4" Type="http://schemas.openxmlformats.org/officeDocument/2006/relationships/hyperlink" Target="../../../AppData/Roaming/Microsoft/Excel/Contemporary/Juice%20Newton/Angel%20of%20the%20Morning.mp3" TargetMode="External"/><Relationship Id="rId180" Type="http://schemas.openxmlformats.org/officeDocument/2006/relationships/hyperlink" Target="../../../AppData/Roaming/Microsoft/Excel/Contemporary/Linkin%20Park/Numb.txt" TargetMode="External"/><Relationship Id="rId215" Type="http://schemas.openxmlformats.org/officeDocument/2006/relationships/hyperlink" Target="../../../AppData/Roaming/Microsoft/Excel/Contemporary/The%20Archies/Sugar%20(Honey,%20Honey).txt" TargetMode="External"/><Relationship Id="rId236" Type="http://schemas.openxmlformats.org/officeDocument/2006/relationships/hyperlink" Target="../../../AppData/Roaming/Microsoft/Excel/Contemporary/Coldplay/The%20Scientist.mp3" TargetMode="External"/><Relationship Id="rId257" Type="http://schemas.openxmlformats.org/officeDocument/2006/relationships/hyperlink" Target="../../../AppData/Roaming/Microsoft/Excel/Contemporary/Mr%20Big/To%20Be%20With%20You.m4a" TargetMode="External"/><Relationship Id="rId278" Type="http://schemas.openxmlformats.org/officeDocument/2006/relationships/hyperlink" Target="../../../AppData/Roaming/Microsoft/Excel/Contemporary/4%20Non%20Blondes/What's%20Up.mp3" TargetMode="External"/><Relationship Id="rId303" Type="http://schemas.openxmlformats.org/officeDocument/2006/relationships/hyperlink" Target="../../../AppData/Roaming/Microsoft/Excel/Contemporary/James%20Blunt/You're%20Beautiful.txt" TargetMode="External"/><Relationship Id="rId42" Type="http://schemas.openxmlformats.org/officeDocument/2006/relationships/hyperlink" Target="../../../AppData/Roaming/Microsoft/Excel/Contemporary/Bruno%20Mars/Count%20On%20Me.txt" TargetMode="External"/><Relationship Id="rId84" Type="http://schemas.openxmlformats.org/officeDocument/2006/relationships/hyperlink" Target="../../../AppData/Roaming/Microsoft/Excel/Contemporary/Various/Fare%20Thee%20Well.mp3" TargetMode="External"/><Relationship Id="rId138" Type="http://schemas.openxmlformats.org/officeDocument/2006/relationships/hyperlink" Target="../../../AppData/Roaming/Microsoft/Excel/Contemporary/Lori%20Lieberman/Killing%20Me%20Softly.mp3" TargetMode="External"/><Relationship Id="rId345" Type="http://schemas.openxmlformats.org/officeDocument/2006/relationships/hyperlink" Target="../../../AppData/Roaming/Microsoft/Excel/Contemporary/Various/Brasileirinho.mp3" TargetMode="External"/><Relationship Id="rId387" Type="http://schemas.openxmlformats.org/officeDocument/2006/relationships/hyperlink" Target="../../../AppData/Roaming/Microsoft/Excel/Contemporary/The%20Drifters/This%20Magic%20Moment.m4a" TargetMode="External"/><Relationship Id="rId191" Type="http://schemas.openxmlformats.org/officeDocument/2006/relationships/hyperlink" Target="../../../AppData/Roaming/Microsoft/Excel/Contemporary/Billy%20Joel/Piano%20Man.mp3" TargetMode="External"/><Relationship Id="rId205" Type="http://schemas.openxmlformats.org/officeDocument/2006/relationships/hyperlink" Target="../../../AppData/Roaming/Microsoft/Excel/Contemporary/Red%20Hot%20Chili%20Peppers/Snow.txt" TargetMode="External"/><Relationship Id="rId247" Type="http://schemas.openxmlformats.org/officeDocument/2006/relationships/hyperlink" Target="../../../AppData/Roaming/Microsoft/Excel/Contemporary/Michael%20Jackson/The%20Way%20You%20Make%20Me%20Feel.txt" TargetMode="External"/><Relationship Id="rId107" Type="http://schemas.openxmlformats.org/officeDocument/2006/relationships/hyperlink" Target="../../../AppData/Roaming/Microsoft/Excel/Contemporary/Pharell%20Williams/Happy.txt" TargetMode="External"/><Relationship Id="rId289" Type="http://schemas.openxmlformats.org/officeDocument/2006/relationships/hyperlink" Target="../../../AppData/Roaming/Microsoft/Excel/Contemporary/Pink%20Floyd/Wish%20You%20Were%20Here.txt" TargetMode="External"/><Relationship Id="rId11" Type="http://schemas.openxmlformats.org/officeDocument/2006/relationships/hyperlink" Target="../../../AppData/Roaming/Microsoft/Excel/Contemporary/Simon%20and%20Garfunkel/April%20Come%20She%20Will.txt" TargetMode="External"/><Relationship Id="rId53" Type="http://schemas.openxmlformats.org/officeDocument/2006/relationships/hyperlink" Target="../../../AppData/Roaming/Microsoft/Excel/Contemporary/John%20Mayer/Daughters.mp3" TargetMode="External"/><Relationship Id="rId149" Type="http://schemas.openxmlformats.org/officeDocument/2006/relationships/hyperlink" Target="../../../AppData/Roaming/Microsoft/Excel/Contemporary/Meghan%20Trainor/Like%20I'm%20Gonna%20Lose%20You.txt" TargetMode="External"/><Relationship Id="rId314" Type="http://schemas.openxmlformats.org/officeDocument/2006/relationships/hyperlink" Target="../../../AppData/Roaming/Microsoft/Excel/Contemporary/The%20Killers/Mr%20Brightside.txt" TargetMode="External"/><Relationship Id="rId356" Type="http://schemas.openxmlformats.org/officeDocument/2006/relationships/hyperlink" Target="../../../AppData/Roaming/Microsoft/Excel/Contemporary/LP/Lost%20On%20You.mp3" TargetMode="External"/><Relationship Id="rId95" Type="http://schemas.openxmlformats.org/officeDocument/2006/relationships/hyperlink" Target="../../../AppData/Roaming/Microsoft/Excel/Contemporary/Frank%20Sinatra/Fly%20Me%20To%20The%20Moon.mp3" TargetMode="External"/><Relationship Id="rId160" Type="http://schemas.openxmlformats.org/officeDocument/2006/relationships/hyperlink" Target="../../../AppData/Roaming/Microsoft/Excel/Contemporary/Jason%20Mraz/Lucky.txt" TargetMode="External"/><Relationship Id="rId216" Type="http://schemas.openxmlformats.org/officeDocument/2006/relationships/hyperlink" Target="../../../AppData/Roaming/Microsoft/Excel/Contemporary/The%20Archies/Sugar%20(Honey,%20Honey).mp3" TargetMode="External"/><Relationship Id="rId258" Type="http://schemas.openxmlformats.org/officeDocument/2006/relationships/hyperlink" Target="../../../AppData/Roaming/Microsoft/Excel/Contemporary/The%20Carpenters/Top%20Of%20The%20World.mp3" TargetMode="External"/><Relationship Id="rId22" Type="http://schemas.openxmlformats.org/officeDocument/2006/relationships/hyperlink" Target="../../../AppData/Roaming/Microsoft/Excel/Contemporary/George%20Ezra/Budapest.txt" TargetMode="External"/><Relationship Id="rId64" Type="http://schemas.openxmlformats.org/officeDocument/2006/relationships/hyperlink" Target="../../../AppData/Roaming/Microsoft/Excel/Contemporary/Various/Dream%20A%20Little%20Dream%20of%20Me.mp3" TargetMode="External"/><Relationship Id="rId118" Type="http://schemas.openxmlformats.org/officeDocument/2006/relationships/hyperlink" Target="../../../AppData/Roaming/Microsoft/Excel/Contemporary/Plain%20White%20T's/Hey%20There%20Delilah.mp3" TargetMode="External"/><Relationship Id="rId325" Type="http://schemas.openxmlformats.org/officeDocument/2006/relationships/hyperlink" Target="../../../AppData/Roaming/Microsoft/Excel/Contemporary/Johnny%20Tillotson/Poetry%20In%20Motion.txt" TargetMode="External"/><Relationship Id="rId367" Type="http://schemas.openxmlformats.org/officeDocument/2006/relationships/hyperlink" Target="../../../AppData/Roaming/Microsoft/Excel/Contemporary/Jason%20Mraz/I'm%20Yours.txt" TargetMode="External"/><Relationship Id="rId171" Type="http://schemas.openxmlformats.org/officeDocument/2006/relationships/hyperlink" Target="../../../AppData/Roaming/Microsoft/Excel/Contemporary/Extreme/More%20Than%20Words.txt" TargetMode="External"/><Relationship Id="rId227" Type="http://schemas.openxmlformats.org/officeDocument/2006/relationships/hyperlink" Target="../../../AppData/Roaming/Microsoft/Excel/Contemporary/Simon%20and%20Garfunkel/The%20Boxer.txt" TargetMode="External"/><Relationship Id="rId269" Type="http://schemas.openxmlformats.org/officeDocument/2006/relationships/hyperlink" Target="../../../AppData/Roaming/Microsoft/Excel/Contemporary/Coldplay/Viva%20La%20Vida.mp3" TargetMode="External"/><Relationship Id="rId33" Type="http://schemas.openxmlformats.org/officeDocument/2006/relationships/hyperlink" Target="../../../AppData/Roaming/Microsoft/Excel/Contemporary/Matt%20Simons/Catch%20and%20Release.txt" TargetMode="External"/><Relationship Id="rId129" Type="http://schemas.openxmlformats.org/officeDocument/2006/relationships/hyperlink" Target="../../../AppData/Roaming/Microsoft/Excel/Contemporary/The%20Rembrandts/I'll%20Be%20There%20For%20You.txt" TargetMode="External"/><Relationship Id="rId280" Type="http://schemas.openxmlformats.org/officeDocument/2006/relationships/hyperlink" Target="../../../AppData/Roaming/Microsoft/Excel/Contemporary/The%20Killers/When%20You%20Were%20Young.mp3" TargetMode="External"/><Relationship Id="rId336" Type="http://schemas.openxmlformats.org/officeDocument/2006/relationships/hyperlink" Target="../../../AppData/Roaming/Microsoft/Excel/Contemporary/Robbie%20Williams/A%20Man%20For%20All%20Seasons.txt" TargetMode="External"/><Relationship Id="rId75" Type="http://schemas.openxmlformats.org/officeDocument/2006/relationships/hyperlink" Target="../../../AppData/Roaming/Microsoft/Excel/Contemporary/Eric%20Hutchinson/Every%20Little%20Thing%20She%20Does%20Is%20Magic.txt" TargetMode="External"/><Relationship Id="rId140" Type="http://schemas.openxmlformats.org/officeDocument/2006/relationships/hyperlink" Target="../../../AppData/Roaming/Microsoft/Excel/Contemporary/Louis%20Armstrong/La%20Vie%20En%20Rose.mp3" TargetMode="External"/><Relationship Id="rId182" Type="http://schemas.openxmlformats.org/officeDocument/2006/relationships/hyperlink" Target="../../../AppData/Roaming/Microsoft/Excel/Contemporary/Neil%20Sedaka/Oh%20Carol.txt" TargetMode="External"/><Relationship Id="rId378" Type="http://schemas.openxmlformats.org/officeDocument/2006/relationships/hyperlink" Target="../../../AppData/Roaming/Microsoft/Excel/Contemporary/Maroon%205/This%20Love.mp3" TargetMode="External"/><Relationship Id="rId6" Type="http://schemas.openxmlformats.org/officeDocument/2006/relationships/hyperlink" Target="../../../AppData/Roaming/Microsoft/Excel/Contemporary/Robbie%20Williams/Angels.mp3" TargetMode="External"/><Relationship Id="rId238" Type="http://schemas.openxmlformats.org/officeDocument/2006/relationships/hyperlink" Target="../../../AppData/Roaming/Microsoft/Excel/Contemporary/Simon%20and%20Garfunkel/The%20Sound%20of%20Silence.mp3" TargetMode="External"/><Relationship Id="rId291" Type="http://schemas.openxmlformats.org/officeDocument/2006/relationships/hyperlink" Target="../../../AppData/Roaming/Microsoft/Excel/Contemporary/Eric%20Clapton/Wonderful%20Tonight.txt" TargetMode="External"/><Relationship Id="rId305" Type="http://schemas.openxmlformats.org/officeDocument/2006/relationships/hyperlink" Target="../../../AppData/Roaming/Microsoft/Excel/Contemporary/The%20Beatles/You've%20Got%20To%20Hide%20Your%20Love%20Away.txt" TargetMode="External"/><Relationship Id="rId347" Type="http://schemas.openxmlformats.org/officeDocument/2006/relationships/hyperlink" Target="../../../AppData/Roaming/Microsoft/Excel/Contemporary/Red%20Hot%20Chili%20Peppers/Californication.mp3" TargetMode="External"/><Relationship Id="rId44" Type="http://schemas.openxmlformats.org/officeDocument/2006/relationships/hyperlink" Target="../../../AppData/Roaming/Microsoft/Excel/Contemporary/Gnarls%20Barkley/Crazy.txt" TargetMode="External"/><Relationship Id="rId86" Type="http://schemas.openxmlformats.org/officeDocument/2006/relationships/hyperlink" Target="../../../AppData/Roaming/Microsoft/Excel/Contemporary/James%20Taylor/Fire%20and%20Rain.mp3" TargetMode="External"/><Relationship Id="rId151" Type="http://schemas.openxmlformats.org/officeDocument/2006/relationships/hyperlink" Target="../../../AppData/Roaming/Microsoft/Excel/Contemporary/Eric%20Clapton/Lonely%20Stranger.txt" TargetMode="External"/><Relationship Id="rId389" Type="http://schemas.openxmlformats.org/officeDocument/2006/relationships/printerSettings" Target="../printerSettings/printerSettings3.bin"/><Relationship Id="rId193" Type="http://schemas.openxmlformats.org/officeDocument/2006/relationships/hyperlink" Target="../../../AppData/Roaming/Microsoft/Excel/Contemporary/Plain%20White%20T's/Rhythm%20of%20Love.mp3" TargetMode="External"/><Relationship Id="rId207" Type="http://schemas.openxmlformats.org/officeDocument/2006/relationships/hyperlink" Target="../../../AppData/Roaming/Microsoft/Excel/Contemporary/Adele/Someone%20Like%20You.mp3" TargetMode="External"/><Relationship Id="rId249" Type="http://schemas.openxmlformats.org/officeDocument/2006/relationships/hyperlink" Target="../../../AppData/Roaming/Microsoft/Excel/Contemporary/Ed%20Sheeran/Thinking%20Out%20Loud.txt" TargetMode="External"/><Relationship Id="rId13" Type="http://schemas.openxmlformats.org/officeDocument/2006/relationships/hyperlink" Target="../../../AppData/Roaming/Microsoft/Excel/Contemporary/Various/Bistro%20Fada.txt" TargetMode="External"/><Relationship Id="rId109" Type="http://schemas.openxmlformats.org/officeDocument/2006/relationships/hyperlink" Target="../../../AppData/Roaming/Microsoft/Excel/Contemporary/CCR/Have%20You%20Ever%20Seen%20The%20Rain.txt" TargetMode="External"/><Relationship Id="rId260" Type="http://schemas.openxmlformats.org/officeDocument/2006/relationships/hyperlink" Target="../../../AppData/Roaming/Microsoft/Excel/Contemporary/Sting/Until.txt" TargetMode="External"/><Relationship Id="rId316" Type="http://schemas.openxmlformats.org/officeDocument/2006/relationships/hyperlink" Target="../../../AppData/Roaming/Microsoft/Excel/Contemporary/Neil%20Sedaka/Calendar%20Girl.txt" TargetMode="External"/><Relationship Id="rId55" Type="http://schemas.openxmlformats.org/officeDocument/2006/relationships/hyperlink" Target="../../../AppData/Roaming/Microsoft/Excel/Contemporary/The%20Avett%20Brothers/Die%20Die%20Die.mp3" TargetMode="External"/><Relationship Id="rId97" Type="http://schemas.openxmlformats.org/officeDocument/2006/relationships/hyperlink" Target="../../../AppData/Roaming/Microsoft/Excel/Contemporary/Maroon%205/Give%20A%20Little%20More.txt" TargetMode="External"/><Relationship Id="rId120" Type="http://schemas.openxmlformats.org/officeDocument/2006/relationships/hyperlink" Target="../../../AppData/Roaming/Microsoft/Excel/Contemporary/Train/Hey,%20Soul%20Sister.mp3" TargetMode="External"/><Relationship Id="rId358" Type="http://schemas.openxmlformats.org/officeDocument/2006/relationships/hyperlink" Target="../../../AppData/Roaming/Microsoft/Excel/Contemporary/Fleetwood%20Mac/Never%20Going%20Back%20Again.txt" TargetMode="External"/><Relationship Id="rId162" Type="http://schemas.openxmlformats.org/officeDocument/2006/relationships/hyperlink" Target="../../../AppData/Roaming/Microsoft/Excel/Contemporary/Cliff%20Richard/Lucky%20Lips.txt" TargetMode="External"/><Relationship Id="rId218" Type="http://schemas.openxmlformats.org/officeDocument/2006/relationships/hyperlink" Target="../../../AppData/Roaming/Microsoft/Excel/Contemporary/Lazlo%20Bane/Superman.txt" TargetMode="External"/><Relationship Id="rId271" Type="http://schemas.openxmlformats.org/officeDocument/2006/relationships/hyperlink" Target="../../../AppData/Roaming/Microsoft/Excel/Contemporary/Green%20Day/Wake%20Me%20Up%20When%20September%20Ends.txt" TargetMode="External"/><Relationship Id="rId24" Type="http://schemas.openxmlformats.org/officeDocument/2006/relationships/hyperlink" Target="../../../AppData/Roaming/Microsoft/Excel/Contemporary/Jason%20Mraz/Butterfly.mp3" TargetMode="External"/><Relationship Id="rId66" Type="http://schemas.openxmlformats.org/officeDocument/2006/relationships/hyperlink" Target="../../../AppData/Roaming/Microsoft/Excel/Contemporary/Incubus/Drive.mp3" TargetMode="External"/><Relationship Id="rId131" Type="http://schemas.openxmlformats.org/officeDocument/2006/relationships/hyperlink" Target="../../../AppData/Roaming/Microsoft/Excel/Contemporary/The%20Monkees/I'm%20a%20Believer.txt" TargetMode="External"/><Relationship Id="rId327" Type="http://schemas.openxmlformats.org/officeDocument/2006/relationships/hyperlink" Target="../../../AppData/Roaming/Microsoft/Excel/Contemporary/Various/Que%20Sera%20Sera.txt" TargetMode="External"/><Relationship Id="rId369" Type="http://schemas.openxmlformats.org/officeDocument/2006/relationships/hyperlink" Target="../../../AppData/Roaming/Microsoft/Excel/Contemporary/Elvis%20Presley/Can't%20Help%20Falling%20In%20Love.m4a" TargetMode="External"/><Relationship Id="rId173" Type="http://schemas.openxmlformats.org/officeDocument/2006/relationships/hyperlink" Target="../../../AppData/Roaming/Microsoft/Excel/Contemporary/Electric%20Light%20Orchestra/Mr%20Blue%20Sky.txt" TargetMode="External"/><Relationship Id="rId229" Type="http://schemas.openxmlformats.org/officeDocument/2006/relationships/hyperlink" Target="../../../AppData/Roaming/Microsoft/Excel/Contemporary/Mumford%20And%20Sons/The%20Cave.txt" TargetMode="External"/><Relationship Id="rId380" Type="http://schemas.openxmlformats.org/officeDocument/2006/relationships/hyperlink" Target="../../../AppData/Roaming/Microsoft/Excel/Contemporary/Peter,%20Paul,%20and%20Mary/Blowin'%20In%20The%20Wind.mp3" TargetMode="External"/><Relationship Id="rId240" Type="http://schemas.openxmlformats.org/officeDocument/2006/relationships/hyperlink" Target="../../../AppData/Roaming/Microsoft/Excel/Contemporary/Blondie/The%20Tide%20Is%20High.mp3" TargetMode="External"/><Relationship Id="rId35" Type="http://schemas.openxmlformats.org/officeDocument/2006/relationships/hyperlink" Target="../../../AppData/Roaming/Microsoft/Excel/Contemporary/Katy%20Perry/Chained%20To%20The%20Rhythm.txt" TargetMode="External"/><Relationship Id="rId77" Type="http://schemas.openxmlformats.org/officeDocument/2006/relationships/hyperlink" Target="../../../AppData/Roaming/Microsoft/Excel/Contemporary/Michael%20Buble/Everything.txt" TargetMode="External"/><Relationship Id="rId100" Type="http://schemas.openxmlformats.org/officeDocument/2006/relationships/hyperlink" Target="../../../AppData/Roaming/Microsoft/Excel/Contemporary/Eric%20Hutchinson/Goodnight%20Goodbye.mp3" TargetMode="External"/><Relationship Id="rId282" Type="http://schemas.openxmlformats.org/officeDocument/2006/relationships/hyperlink" Target="../../../AppData/Roaming/Microsoft/Excel/Contemporary/Dido/White%20Flag.mp3" TargetMode="External"/><Relationship Id="rId338" Type="http://schemas.openxmlformats.org/officeDocument/2006/relationships/hyperlink" Target="../../../AppData/Roaming/Microsoft/Excel/Contemporary/Eric%20Hutchinson/A%20Little%20More.txt" TargetMode="External"/><Relationship Id="rId8" Type="http://schemas.openxmlformats.org/officeDocument/2006/relationships/hyperlink" Target="../../../AppData/Roaming/Microsoft/Excel/Contemporary/John%20Denver/Annie's%20Song.mp3" TargetMode="External"/><Relationship Id="rId142" Type="http://schemas.openxmlformats.org/officeDocument/2006/relationships/hyperlink" Target="../../../AppData/Roaming/Microsoft/Excel/Contemporary/Eric%20Clapton/Layla.mp3" TargetMode="External"/><Relationship Id="rId184" Type="http://schemas.openxmlformats.org/officeDocument/2006/relationships/hyperlink" Target="../../../AppData/Roaming/Microsoft/Excel/Contemporary/Blue/One%20Love.mp3" TargetMode="External"/><Relationship Id="rId251" Type="http://schemas.openxmlformats.org/officeDocument/2006/relationships/hyperlink" Target="../../../AppData/Roaming/Microsoft/Excel/Contemporary/Eva%20Cassidy/Time%20After%20Time.txt" TargetMode="External"/><Relationship Id="rId46" Type="http://schemas.openxmlformats.org/officeDocument/2006/relationships/hyperlink" Target="../../../AppData/Roaming/Microsoft/Excel/Contemporary/Queen/Crazy%20Little%20Thing%20Called%20Love.txt" TargetMode="External"/><Relationship Id="rId293" Type="http://schemas.openxmlformats.org/officeDocument/2006/relationships/hyperlink" Target="../../../AppData/Roaming/Microsoft/Excel/Contemporary/Oasis/Wonderwall.txt" TargetMode="External"/><Relationship Id="rId307" Type="http://schemas.openxmlformats.org/officeDocument/2006/relationships/hyperlink" Target="../../../AppData/Roaming/Microsoft/Excel/Contemporary/Elton%20John/Your%20Song.mp3" TargetMode="External"/><Relationship Id="rId349" Type="http://schemas.openxmlformats.org/officeDocument/2006/relationships/hyperlink" Target="../../../AppData/Roaming/Microsoft/Excel/Contemporary/Bruno%20Mars/Count%20On%20Me.mp3" TargetMode="External"/><Relationship Id="rId88" Type="http://schemas.openxmlformats.org/officeDocument/2006/relationships/hyperlink" Target="../../../AppData/Roaming/Microsoft/Excel/Contemporary/Owl%20City/Fireflies.mp3" TargetMode="External"/><Relationship Id="rId111" Type="http://schemas.openxmlformats.org/officeDocument/2006/relationships/hyperlink" Target="../../../AppData/Roaming/Microsoft/Excel/Contemporary/Neil%20Young/Heart%20Of%20Gold.txt" TargetMode="External"/><Relationship Id="rId153" Type="http://schemas.openxmlformats.org/officeDocument/2006/relationships/hyperlink" Target="../../../AppData/Roaming/Microsoft/Excel/Contemporary/Kurt%20Hunter/Long%20Goodbyes.txt" TargetMode="External"/><Relationship Id="rId195" Type="http://schemas.openxmlformats.org/officeDocument/2006/relationships/hyperlink" Target="../../../AppData/Roaming/Microsoft/Excel/Contemporary/Eric%20Hutchinson/Rock%20'n'%20Roll.mp3" TargetMode="External"/><Relationship Id="rId209" Type="http://schemas.openxmlformats.org/officeDocument/2006/relationships/hyperlink" Target="../../../AppData/Roaming/Microsoft/Excel/Contemporary/Nickel%20Creek/Spit%20On%20A%20Stranger.mp3" TargetMode="External"/><Relationship Id="rId360" Type="http://schemas.openxmlformats.org/officeDocument/2006/relationships/hyperlink" Target="../../../AppData/Roaming/Microsoft/Excel/Contemporary/Paolo%20Nutini/New%20Shoes.mp3" TargetMode="External"/><Relationship Id="rId220" Type="http://schemas.openxmlformats.org/officeDocument/2006/relationships/hyperlink" Target="../../../AppData/Roaming/Microsoft/Excel/Contemporary/Coldplay/Swallowed%20in%20the%20Sea.txt" TargetMode="External"/><Relationship Id="rId15" Type="http://schemas.openxmlformats.org/officeDocument/2006/relationships/hyperlink" Target="../../../AppData/Roaming/Microsoft/Excel/Contemporary/The%20Beatles/Blackbird.txt" TargetMode="External"/><Relationship Id="rId57" Type="http://schemas.openxmlformats.org/officeDocument/2006/relationships/hyperlink" Target="../../../AppData/Roaming/Microsoft/Excel/Contemporary/James%20Taylor/Don't%20Let%20Me%20Be%20Lonely%20Tonight.mp3" TargetMode="External"/><Relationship Id="rId262" Type="http://schemas.openxmlformats.org/officeDocument/2006/relationships/hyperlink" Target="../../../AppData/Roaming/Microsoft/Excel/Contemporary/Billy%20Joel/Uptown%20Girl.txt" TargetMode="External"/><Relationship Id="rId318" Type="http://schemas.openxmlformats.org/officeDocument/2006/relationships/hyperlink" Target="../../../AppData/Roaming/Microsoft/Excel/Contemporary/The%20Weeknd/Blinding%20Lights.mp3" TargetMode="External"/><Relationship Id="rId99" Type="http://schemas.openxmlformats.org/officeDocument/2006/relationships/hyperlink" Target="../../../AppData/Roaming/Microsoft/Excel/Contemporary/Eric%20Hutchinson/Goodnight%20Goodbye.txt" TargetMode="External"/><Relationship Id="rId122" Type="http://schemas.openxmlformats.org/officeDocument/2006/relationships/hyperlink" Target="../../../AppData/Roaming/Microsoft/Excel/Contemporary/Coldplay/Hymn%20For%20The%20Weekend.txt" TargetMode="External"/><Relationship Id="rId164" Type="http://schemas.openxmlformats.org/officeDocument/2006/relationships/hyperlink" Target="../../../AppData/Roaming/Microsoft/Excel/Contemporary/Adele/Make%20You%20Feel%20My%20Love.mp3" TargetMode="External"/><Relationship Id="rId371" Type="http://schemas.openxmlformats.org/officeDocument/2006/relationships/hyperlink" Target="../../../AppData/Roaming/Microsoft/Excel/Contemporary/Green%20Day/Good%20Riddance.m4a" TargetMode="External"/><Relationship Id="rId26" Type="http://schemas.openxmlformats.org/officeDocument/2006/relationships/hyperlink" Target="../../../AppData/Roaming/Microsoft/Excel/Contemporary/Everly%20Brothers/Bye%20Bye%20Love.mp3" TargetMode="External"/><Relationship Id="rId231" Type="http://schemas.openxmlformats.org/officeDocument/2006/relationships/hyperlink" Target="../../../AppData/Roaming/Microsoft/Excel/Contemporary/The%20Steve%20Miller%20Band/The%20Joker.txt" TargetMode="External"/><Relationship Id="rId273" Type="http://schemas.openxmlformats.org/officeDocument/2006/relationships/hyperlink" Target="../../../AppData/Roaming/Microsoft/Excel/Contemporary/Hugh%20Grant/Way%20Back%20Into%20Love.txt" TargetMode="External"/><Relationship Id="rId329" Type="http://schemas.openxmlformats.org/officeDocument/2006/relationships/hyperlink" Target="../../../AppData/Roaming/Microsoft/Excel/Contemporary/Everly%20Brothers/All%20I%20Have%20To%20Do%20Is%20Dream.txt" TargetMode="External"/><Relationship Id="rId68" Type="http://schemas.openxmlformats.org/officeDocument/2006/relationships/hyperlink" Target="../../../AppData/Roaming/Microsoft/Excel/Contemporary/Kansas/Dust%20in%20the%20Wind.mp3" TargetMode="External"/><Relationship Id="rId133" Type="http://schemas.openxmlformats.org/officeDocument/2006/relationships/hyperlink" Target="../../../AppData/Roaming/Microsoft/Excel/Contemporary/Bread/If.txt" TargetMode="External"/><Relationship Id="rId175" Type="http://schemas.openxmlformats.org/officeDocument/2006/relationships/hyperlink" Target="../../../AppData/Roaming/Microsoft/Excel/Contemporary/Westlife/My%20Love.txt" TargetMode="External"/><Relationship Id="rId340" Type="http://schemas.openxmlformats.org/officeDocument/2006/relationships/hyperlink" Target="../../../AppData/Roaming/Microsoft/Excel/Contemporary/James%20Blunt/1973.mp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../../../AppData/Roaming/Microsoft/Excel/Contemporary/The%20Monkees/I'm%20a%20Believer.mp3" TargetMode="External"/><Relationship Id="rId21" Type="http://schemas.openxmlformats.org/officeDocument/2006/relationships/hyperlink" Target="../../../AppData/Roaming/Microsoft/Excel/Contemporary/John%20Denver/Annie's%20Song.mp3" TargetMode="External"/><Relationship Id="rId42" Type="http://schemas.openxmlformats.org/officeDocument/2006/relationships/hyperlink" Target="../../../AppData/Roaming/Microsoft/Excel/Contemporary/John%20Denver/Country%20Roads.txt" TargetMode="External"/><Relationship Id="rId63" Type="http://schemas.openxmlformats.org/officeDocument/2006/relationships/hyperlink" Target="../../../AppData/Roaming/Microsoft/Excel/Contemporary/The%20Penguins/Earth%20Angel.mp3" TargetMode="External"/><Relationship Id="rId84" Type="http://schemas.openxmlformats.org/officeDocument/2006/relationships/hyperlink" Target="../../../AppData/Roaming/Microsoft/Excel/Contemporary/Frank%20Sinatra/Fly%20Me%20To%20The%20Moon.mp3" TargetMode="External"/><Relationship Id="rId138" Type="http://schemas.openxmlformats.org/officeDocument/2006/relationships/hyperlink" Target="../../../AppData/Roaming/Microsoft/Excel/Contemporary/The%20Beatles/Michelle.txt" TargetMode="External"/><Relationship Id="rId159" Type="http://schemas.openxmlformats.org/officeDocument/2006/relationships/hyperlink" Target="../../../AppData/Roaming/Microsoft/Excel/Contemporary/Stevie%20Wonder/Part%20Time%20Lover.txt" TargetMode="External"/><Relationship Id="rId170" Type="http://schemas.openxmlformats.org/officeDocument/2006/relationships/hyperlink" Target="../../../AppData/Roaming/Microsoft/Excel/Contemporary/Johnny%20Cash/Ring%20Of%20Fire.txt" TargetMode="External"/><Relationship Id="rId191" Type="http://schemas.openxmlformats.org/officeDocument/2006/relationships/hyperlink" Target="../../../AppData/Roaming/Microsoft/Excel/Contemporary/Hoobastank/The%20Reason.txt" TargetMode="External"/><Relationship Id="rId205" Type="http://schemas.openxmlformats.org/officeDocument/2006/relationships/hyperlink" Target="../../../AppData/Roaming/Microsoft/Excel/Contemporary/Various/Under%20The%20Sea.txt" TargetMode="External"/><Relationship Id="rId226" Type="http://schemas.openxmlformats.org/officeDocument/2006/relationships/hyperlink" Target="../../../AppData/Roaming/Microsoft/Excel/Contemporary/Coldplay/Yellow.mp3" TargetMode="External"/><Relationship Id="rId247" Type="http://schemas.openxmlformats.org/officeDocument/2006/relationships/hyperlink" Target="../../../AppData/Roaming/Microsoft/Excel/Contemporary/Matchbox%2020/Unwell.txt" TargetMode="External"/><Relationship Id="rId107" Type="http://schemas.openxmlformats.org/officeDocument/2006/relationships/hyperlink" Target="../../../AppData/Roaming/Microsoft/Excel/Contemporary/Train/Hey,%20Soul%20Sister.mp3" TargetMode="External"/><Relationship Id="rId11" Type="http://schemas.openxmlformats.org/officeDocument/2006/relationships/hyperlink" Target="../../../AppData/Roaming/Microsoft/Excel/Contemporary/Everly%20Brothers/All%20I%20Have%20To%20Do%20Is%20Dream.mp3" TargetMode="External"/><Relationship Id="rId32" Type="http://schemas.openxmlformats.org/officeDocument/2006/relationships/hyperlink" Target="../../../AppData/Roaming/Microsoft/Excel/Contemporary/Everly%20Brothers/Bye%20Bye%20Love.txt" TargetMode="External"/><Relationship Id="rId53" Type="http://schemas.openxmlformats.org/officeDocument/2006/relationships/hyperlink" Target="../../../AppData/Roaming/Microsoft/Excel/Contemporary/The%20Avett%20Brothers/Die%20Die%20Die.txt" TargetMode="External"/><Relationship Id="rId74" Type="http://schemas.openxmlformats.org/officeDocument/2006/relationships/hyperlink" Target="../../../AppData/Roaming/Microsoft/Excel/Contemporary/George%20Michael/Faith.txt" TargetMode="External"/><Relationship Id="rId128" Type="http://schemas.openxmlformats.org/officeDocument/2006/relationships/hyperlink" Target="../../../AppData/Roaming/Microsoft/Excel/Contemporary/Eric%20Clapton/Lonely%20Stranger.txt" TargetMode="External"/><Relationship Id="rId149" Type="http://schemas.openxmlformats.org/officeDocument/2006/relationships/hyperlink" Target="../../../AppData/Roaming/Microsoft/Excel/Contemporary/The%20Beatles/Norwegian%20Wood.mp3" TargetMode="External"/><Relationship Id="rId5" Type="http://schemas.openxmlformats.org/officeDocument/2006/relationships/hyperlink" Target="../../../AppData/Roaming/Microsoft/Excel/Contemporary/Vanessa%20Carlton/A%20Thousand%20Miles.mp3" TargetMode="External"/><Relationship Id="rId95" Type="http://schemas.openxmlformats.org/officeDocument/2006/relationships/hyperlink" Target="../../../AppData/Roaming/Microsoft/Excel/Contemporary/Bread/The%20Guitar%20Man.mp3" TargetMode="External"/><Relationship Id="rId160" Type="http://schemas.openxmlformats.org/officeDocument/2006/relationships/hyperlink" Target="../../../AppData/Roaming/Microsoft/Excel/Contemporary/Ed%20Sheeran/Photograph.txt" TargetMode="External"/><Relationship Id="rId181" Type="http://schemas.openxmlformats.org/officeDocument/2006/relationships/hyperlink" Target="../../../AppData/Roaming/Microsoft/Excel/Contemporary/Stealers%20Wheel/Stuck%20In%20The%20Middle%20With%20You.txt" TargetMode="External"/><Relationship Id="rId216" Type="http://schemas.openxmlformats.org/officeDocument/2006/relationships/hyperlink" Target="../../../AppData/Roaming/Microsoft/Excel/Contemporary/Dido/White%20Flag.mp3" TargetMode="External"/><Relationship Id="rId237" Type="http://schemas.openxmlformats.org/officeDocument/2006/relationships/hyperlink" Target="../../../AppData/Roaming/Microsoft/Excel/Contemporary/Various/The%20Girl%20From%20Ipanema.txt" TargetMode="External"/><Relationship Id="rId22" Type="http://schemas.openxmlformats.org/officeDocument/2006/relationships/hyperlink" Target="../../../AppData/Roaming/Microsoft/Excel/Contemporary/Britney%20Spears/Baby%20One%20More%20Time.txt" TargetMode="External"/><Relationship Id="rId43" Type="http://schemas.openxmlformats.org/officeDocument/2006/relationships/hyperlink" Target="../../../AppData/Roaming/Microsoft/Excel/Contemporary/Gnarls%20Barkley/Crazy.txt" TargetMode="External"/><Relationship Id="rId64" Type="http://schemas.openxmlformats.org/officeDocument/2006/relationships/hyperlink" Target="../../../AppData/Roaming/Microsoft/Excel/Contemporary/The%20Beatles/Eight%20Days%20A%20Week.txt" TargetMode="External"/><Relationship Id="rId118" Type="http://schemas.openxmlformats.org/officeDocument/2006/relationships/hyperlink" Target="../../../AppData/Roaming/Microsoft/Excel/Contemporary/Lori%20Lieberman/Killing%20Me%20Softly.txt" TargetMode="External"/><Relationship Id="rId139" Type="http://schemas.openxmlformats.org/officeDocument/2006/relationships/hyperlink" Target="../../../AppData/Roaming/Microsoft/Excel/Contemporary/The%20Beatles/Michelle.mp3" TargetMode="External"/><Relationship Id="rId85" Type="http://schemas.openxmlformats.org/officeDocument/2006/relationships/hyperlink" Target="../../../AppData/Roaming/Microsoft/Excel/Contemporary/John%20Mayer/Free%20Falling.txt" TargetMode="External"/><Relationship Id="rId150" Type="http://schemas.openxmlformats.org/officeDocument/2006/relationships/hyperlink" Target="../../../AppData/Roaming/Microsoft/Excel/Contemporary/Linkin%20Park/Numb.txt" TargetMode="External"/><Relationship Id="rId171" Type="http://schemas.openxmlformats.org/officeDocument/2006/relationships/hyperlink" Target="../../../AppData/Roaming/Microsoft/Excel/Contemporary/Eric%20Hutchinson/Rock%20'n'%20Roll.txt" TargetMode="External"/><Relationship Id="rId192" Type="http://schemas.openxmlformats.org/officeDocument/2006/relationships/hyperlink" Target="../../../AppData/Roaming/Microsoft/Excel/Contemporary/Coldplay/The%20Scientist.txt" TargetMode="External"/><Relationship Id="rId206" Type="http://schemas.openxmlformats.org/officeDocument/2006/relationships/hyperlink" Target="../../../AppData/Roaming/Microsoft/Excel/Contemporary/Owl%20City/Vanilla%20Twilight.txt" TargetMode="External"/><Relationship Id="rId227" Type="http://schemas.openxmlformats.org/officeDocument/2006/relationships/hyperlink" Target="../../../AppData/Roaming/Microsoft/Excel/Contemporary/The%20Beatles/Yesterday.txt" TargetMode="External"/><Relationship Id="rId248" Type="http://schemas.openxmlformats.org/officeDocument/2006/relationships/hyperlink" Target="../../../AppData/Roaming/Microsoft/Excel/Contemporary/Various/Fare%20Thee%20Well.mp3" TargetMode="External"/><Relationship Id="rId12" Type="http://schemas.openxmlformats.org/officeDocument/2006/relationships/hyperlink" Target="../../../AppData/Roaming/Microsoft/Excel/Contemporary/Kodaline/All%20I%20Want.txt" TargetMode="External"/><Relationship Id="rId33" Type="http://schemas.openxmlformats.org/officeDocument/2006/relationships/hyperlink" Target="../../../AppData/Roaming/Microsoft/Excel/Contemporary/Everly%20Brothers/Bye%20Bye%20Love.mp3" TargetMode="External"/><Relationship Id="rId108" Type="http://schemas.openxmlformats.org/officeDocument/2006/relationships/hyperlink" Target="../../../AppData/Roaming/Microsoft/Excel/Contemporary/The%20Eagles/Hotel%20California.txt" TargetMode="External"/><Relationship Id="rId129" Type="http://schemas.openxmlformats.org/officeDocument/2006/relationships/hyperlink" Target="../../../AppData/Roaming/Microsoft/Excel/Contemporary/Eric%20Clapton/Lonely%20Stranger.mp3" TargetMode="External"/><Relationship Id="rId54" Type="http://schemas.openxmlformats.org/officeDocument/2006/relationships/hyperlink" Target="../../../AppData/Roaming/Microsoft/Excel/Contemporary/The%20Avett%20Brothers/Die%20Die%20Die.mp3" TargetMode="External"/><Relationship Id="rId75" Type="http://schemas.openxmlformats.org/officeDocument/2006/relationships/hyperlink" Target="../../../AppData/Roaming/Microsoft/Excel/Contemporary/George%20Michael/Faith.mp3" TargetMode="External"/><Relationship Id="rId96" Type="http://schemas.openxmlformats.org/officeDocument/2006/relationships/hyperlink" Target="../../../AppData/Roaming/Microsoft/Excel/Contemporary/Jeff%20Buckley/Hallelujah.txt" TargetMode="External"/><Relationship Id="rId140" Type="http://schemas.openxmlformats.org/officeDocument/2006/relationships/hyperlink" Target="../../../AppData/Roaming/Microsoft/Excel/Contemporary/Various/Moon%20River.txt" TargetMode="External"/><Relationship Id="rId161" Type="http://schemas.openxmlformats.org/officeDocument/2006/relationships/hyperlink" Target="../../../AppData/Roaming/Microsoft/Excel/Contemporary/Ed%20Sheeran/Photograph.m4a" TargetMode="External"/><Relationship Id="rId182" Type="http://schemas.openxmlformats.org/officeDocument/2006/relationships/hyperlink" Target="../../../AppData/Roaming/Microsoft/Excel/Contemporary/Stealers%20Wheel/Stuck%20In%20The%20Middle%20With%20You.mp3" TargetMode="External"/><Relationship Id="rId217" Type="http://schemas.openxmlformats.org/officeDocument/2006/relationships/hyperlink" Target="../../../AppData/Roaming/Microsoft/Excel/Contemporary/Cat%20Stevens/Wild%20World.txt" TargetMode="External"/><Relationship Id="rId6" Type="http://schemas.openxmlformats.org/officeDocument/2006/relationships/hyperlink" Target="../../../AppData/Roaming/Microsoft/Excel/Contemporary/Toto/Africa.txt" TargetMode="External"/><Relationship Id="rId238" Type="http://schemas.openxmlformats.org/officeDocument/2006/relationships/hyperlink" Target="../../../AppData/Roaming/Microsoft/Excel/Contemporary/Various/The%20Girl%20From%20Ipanema.mp3" TargetMode="External"/><Relationship Id="rId23" Type="http://schemas.openxmlformats.org/officeDocument/2006/relationships/hyperlink" Target="../../../AppData/Roaming/Microsoft/Excel/Contemporary/Various/Bistro%20Fada.txt" TargetMode="External"/><Relationship Id="rId119" Type="http://schemas.openxmlformats.org/officeDocument/2006/relationships/hyperlink" Target="../../../AppData/Roaming/Microsoft/Excel/Contemporary/Lori%20Lieberman/Killing%20Me%20Softly.mp3" TargetMode="External"/><Relationship Id="rId44" Type="http://schemas.openxmlformats.org/officeDocument/2006/relationships/hyperlink" Target="../../../AppData/Roaming/Microsoft/Excel/Contemporary/Gnarls%20Barkley/Crazy.mp3" TargetMode="External"/><Relationship Id="rId65" Type="http://schemas.openxmlformats.org/officeDocument/2006/relationships/hyperlink" Target="../../../AppData/Roaming/Microsoft/Excel/Contemporary/The%20Beatles/Eight%20Days%20A%20Week.mp3" TargetMode="External"/><Relationship Id="rId86" Type="http://schemas.openxmlformats.org/officeDocument/2006/relationships/hyperlink" Target="../../../AppData/Roaming/Microsoft/Excel/Contemporary/Maroon%205/Give%20A%20Little%20More.txt" TargetMode="External"/><Relationship Id="rId130" Type="http://schemas.openxmlformats.org/officeDocument/2006/relationships/hyperlink" Target="../../../AppData/Roaming/Microsoft/Excel/Contemporary/Kurt%20Hunter/Long%20Goodbyes.txt" TargetMode="External"/><Relationship Id="rId151" Type="http://schemas.openxmlformats.org/officeDocument/2006/relationships/hyperlink" Target="../../../AppData/Roaming/Microsoft/Excel/Contemporary/Linkin%20Park/Numb.mp3" TargetMode="External"/><Relationship Id="rId172" Type="http://schemas.openxmlformats.org/officeDocument/2006/relationships/hyperlink" Target="../../../AppData/Roaming/Microsoft/Excel/Contemporary/Eric%20Hutchinson/Rock%20'n'%20Roll.mp3" TargetMode="External"/><Relationship Id="rId193" Type="http://schemas.openxmlformats.org/officeDocument/2006/relationships/hyperlink" Target="../../../AppData/Roaming/Microsoft/Excel/Contemporary/Coldplay/The%20Scientist.mp3" TargetMode="External"/><Relationship Id="rId207" Type="http://schemas.openxmlformats.org/officeDocument/2006/relationships/hyperlink" Target="../../../AppData/Roaming/Microsoft/Excel/Contemporary/Owl%20City/Vanilla%20Twilight.mp3" TargetMode="External"/><Relationship Id="rId228" Type="http://schemas.openxmlformats.org/officeDocument/2006/relationships/hyperlink" Target="../../../AppData/Roaming/Microsoft/Excel/Contemporary/The%20Beatles/Yesterday.mp3" TargetMode="External"/><Relationship Id="rId249" Type="http://schemas.openxmlformats.org/officeDocument/2006/relationships/hyperlink" Target="../../../AppData/Roaming/Microsoft/Excel/Contemporary/Various/Fare%20Thee%20Well.txt" TargetMode="External"/><Relationship Id="rId13" Type="http://schemas.openxmlformats.org/officeDocument/2006/relationships/hyperlink" Target="../../../AppData/Roaming/Microsoft/Excel/Contemporary/Kodaline/All%20I%20Want.mp3" TargetMode="External"/><Relationship Id="rId109" Type="http://schemas.openxmlformats.org/officeDocument/2006/relationships/hyperlink" Target="../../../AppData/Roaming/Microsoft/Excel/Contemporary/The%20Eagles/Hotel%20California.mp3" TargetMode="External"/><Relationship Id="rId34" Type="http://schemas.openxmlformats.org/officeDocument/2006/relationships/hyperlink" Target="../../../AppData/Roaming/Microsoft/Excel/Contemporary/Elvis%20Presley/Can't%20Help%20Falling%20In%20Love.txt" TargetMode="External"/><Relationship Id="rId55" Type="http://schemas.openxmlformats.org/officeDocument/2006/relationships/hyperlink" Target="../../../AppData/Roaming/Microsoft/Excel/Contemporary/Crystal%20Gayle/Don't%20It%20Make%20My%20Brown%20Eyes%20Blue.txt" TargetMode="External"/><Relationship Id="rId76" Type="http://schemas.openxmlformats.org/officeDocument/2006/relationships/hyperlink" Target="../../../AppData/Roaming/Microsoft/Excel/Contemporary/Owl%20City/Fireflies.txt" TargetMode="External"/><Relationship Id="rId97" Type="http://schemas.openxmlformats.org/officeDocument/2006/relationships/hyperlink" Target="../../../AppData/Roaming/Microsoft/Excel/Contemporary/Jeff%20Buckley/Hallelujah.mp3" TargetMode="External"/><Relationship Id="rId120" Type="http://schemas.openxmlformats.org/officeDocument/2006/relationships/hyperlink" Target="../../../AppData/Roaming/Microsoft/Excel/Contemporary/Sixpence%20None%20The%20Richer/Kiss%20Me.txt" TargetMode="External"/><Relationship Id="rId141" Type="http://schemas.openxmlformats.org/officeDocument/2006/relationships/hyperlink" Target="../../../AppData/Roaming/Microsoft/Excel/Contemporary/Various/Moon%20River.mp3" TargetMode="External"/><Relationship Id="rId7" Type="http://schemas.openxmlformats.org/officeDocument/2006/relationships/hyperlink" Target="../../../AppData/Roaming/Microsoft/Excel/Contemporary/Toto/Africa.mp3" TargetMode="External"/><Relationship Id="rId162" Type="http://schemas.openxmlformats.org/officeDocument/2006/relationships/hyperlink" Target="../../../AppData/Roaming/Microsoft/Excel/Contemporary/Billy%20Joel/Piano%20Man.txt" TargetMode="External"/><Relationship Id="rId183" Type="http://schemas.openxmlformats.org/officeDocument/2006/relationships/hyperlink" Target="../../../AppData/Roaming/Microsoft/Excel/Contemporary/Lazlo%20Bane/Superman.txt" TargetMode="External"/><Relationship Id="rId218" Type="http://schemas.openxmlformats.org/officeDocument/2006/relationships/hyperlink" Target="../../../AppData/Roaming/Microsoft/Excel/Contemporary/Cat%20Stevens/Wild%20World.mp3" TargetMode="External"/><Relationship Id="rId239" Type="http://schemas.openxmlformats.org/officeDocument/2006/relationships/hyperlink" Target="../../../AppData/Roaming/Microsoft/Excel/Contemporary/The%20Beatles/I%20Wanna%20Hold%20Your%20Hand.txt" TargetMode="External"/><Relationship Id="rId24" Type="http://schemas.openxmlformats.org/officeDocument/2006/relationships/hyperlink" Target="../../../AppData/Roaming/Microsoft/Excel/Classical/Various/Stephane%20Wrembel%20-%20Bistro%20Fada.mp3" TargetMode="External"/><Relationship Id="rId45" Type="http://schemas.openxmlformats.org/officeDocument/2006/relationships/hyperlink" Target="../../../AppData/Roaming/Microsoft/Excel/Contemporary/Queen/Crazy%20Little%20Thing%20Called%20Love.txt" TargetMode="External"/><Relationship Id="rId66" Type="http://schemas.openxmlformats.org/officeDocument/2006/relationships/hyperlink" Target="../../../AppData/Roaming/Microsoft/Excel/Contemporary/Rupert%20Holmes/Escape.txt" TargetMode="External"/><Relationship Id="rId87" Type="http://schemas.openxmlformats.org/officeDocument/2006/relationships/hyperlink" Target="../../../AppData/Roaming/Microsoft/Excel/Contemporary/Maroon%205/Give%20A%20Little%20More.mp3" TargetMode="External"/><Relationship Id="rId110" Type="http://schemas.openxmlformats.org/officeDocument/2006/relationships/hyperlink" Target="../../../AppData/Roaming/Microsoft/Excel/Contemporary/Coldplay/Hymn%20For%20The%20Weekend.txt" TargetMode="External"/><Relationship Id="rId131" Type="http://schemas.openxmlformats.org/officeDocument/2006/relationships/hyperlink" Target="../../../AppData/Roaming/Microsoft/Excel/Contemporary/Kurt%20Hunter/Long%20Goodbyes.mp3" TargetMode="External"/><Relationship Id="rId152" Type="http://schemas.openxmlformats.org/officeDocument/2006/relationships/hyperlink" Target="../../../AppData/Roaming/Microsoft/Excel/Contemporary/Neil%20Sedaka/Oh%20Carol.txt" TargetMode="External"/><Relationship Id="rId173" Type="http://schemas.openxmlformats.org/officeDocument/2006/relationships/hyperlink" Target="../../../AppData/Roaming/Microsoft/Excel/Contemporary/Elton%20John/Rocket%20Man.txt" TargetMode="External"/><Relationship Id="rId194" Type="http://schemas.openxmlformats.org/officeDocument/2006/relationships/hyperlink" Target="../../../AppData/Roaming/Microsoft/Excel/Contemporary/Bob%20Dylan/The%20Times%20They%20Are%20A-Changin'.txt" TargetMode="External"/><Relationship Id="rId208" Type="http://schemas.openxmlformats.org/officeDocument/2006/relationships/hyperlink" Target="../../../AppData/Roaming/Microsoft/Excel/Contemporary/Coldplay/Viva%20La%20Vida.txt" TargetMode="External"/><Relationship Id="rId229" Type="http://schemas.openxmlformats.org/officeDocument/2006/relationships/hyperlink" Target="../../../AppData/Roaming/Microsoft/Excel/Contemporary/Lifehouse/You%20and%20Me.txt" TargetMode="External"/><Relationship Id="rId240" Type="http://schemas.openxmlformats.org/officeDocument/2006/relationships/hyperlink" Target="../../../AppData/Roaming/Microsoft/Excel/Contemporary/The%20Carpenters/Top%20Of%20The%20World.txt" TargetMode="External"/><Relationship Id="rId14" Type="http://schemas.openxmlformats.org/officeDocument/2006/relationships/hyperlink" Target="../../../AppData/Roaming/Microsoft/Excel/Contemporary/Smash%20Mouth/All%20Star.txt" TargetMode="External"/><Relationship Id="rId35" Type="http://schemas.openxmlformats.org/officeDocument/2006/relationships/hyperlink" Target="../../../AppData/Roaming/Microsoft/Excel/Contemporary/James%20Blunt/Carry%20You%20Home.txt" TargetMode="External"/><Relationship Id="rId56" Type="http://schemas.openxmlformats.org/officeDocument/2006/relationships/hyperlink" Target="../../../AppData/Roaming/Microsoft/Excel/Contemporary/Crystal%20Gayle/Don't%20It%20Make%20My%20Brown%20Eyes%20Blue.mp3" TargetMode="External"/><Relationship Id="rId77" Type="http://schemas.openxmlformats.org/officeDocument/2006/relationships/hyperlink" Target="../../../AppData/Roaming/Microsoft/Excel/Contemporary/Owl%20City/Fireflies.mp3" TargetMode="External"/><Relationship Id="rId100" Type="http://schemas.openxmlformats.org/officeDocument/2006/relationships/hyperlink" Target="../../../AppData/Roaming/Microsoft/Excel/Contemporary/3%20Doors%20Down/Here%20Without%20You.txt" TargetMode="External"/><Relationship Id="rId8" Type="http://schemas.openxmlformats.org/officeDocument/2006/relationships/hyperlink" Target="../../../AppData/Roaming/Microsoft/Excel/Contemporary/McFly/All%20About%20You.txt" TargetMode="External"/><Relationship Id="rId98" Type="http://schemas.openxmlformats.org/officeDocument/2006/relationships/hyperlink" Target="../../../AppData/Roaming/Microsoft/Excel/Contemporary/CCR/Have%20You%20Ever%20Seen%20The%20Rain.txt" TargetMode="External"/><Relationship Id="rId121" Type="http://schemas.openxmlformats.org/officeDocument/2006/relationships/hyperlink" Target="../../../AppData/Roaming/Microsoft/Excel/Contemporary/Sixpence%20None%20The%20Richer/Kiss%20Me.mp3" TargetMode="External"/><Relationship Id="rId142" Type="http://schemas.openxmlformats.org/officeDocument/2006/relationships/hyperlink" Target="../../../AppData/Roaming/Microsoft/Excel/Contemporary/Michael%20Learns%20To%20Rock/More%20Than%20A%20Friend.txt" TargetMode="External"/><Relationship Id="rId163" Type="http://schemas.openxmlformats.org/officeDocument/2006/relationships/hyperlink" Target="../../../AppData/Roaming/Microsoft/Excel/Contemporary/Billy%20Joel/Piano%20Man.mp3" TargetMode="External"/><Relationship Id="rId184" Type="http://schemas.openxmlformats.org/officeDocument/2006/relationships/hyperlink" Target="../../../AppData/Roaming/Microsoft/Excel/Contemporary/Lazlo%20Bane/Superman.mp3" TargetMode="External"/><Relationship Id="rId219" Type="http://schemas.openxmlformats.org/officeDocument/2006/relationships/hyperlink" Target="../../../AppData/Roaming/Microsoft/Excel/Contemporary/Pink%20Floyd/Wish%20You%20Were%20Here.txt" TargetMode="External"/><Relationship Id="rId230" Type="http://schemas.openxmlformats.org/officeDocument/2006/relationships/hyperlink" Target="../../../AppData/Roaming/Microsoft/Excel/Contemporary/Lifehouse/You%20and%20Me.mp3" TargetMode="External"/><Relationship Id="rId25" Type="http://schemas.openxmlformats.org/officeDocument/2006/relationships/hyperlink" Target="../../../AppData/Roaming/Microsoft/Excel/Contemporary/The%20Beatles/Blackbird.txt" TargetMode="External"/><Relationship Id="rId46" Type="http://schemas.openxmlformats.org/officeDocument/2006/relationships/hyperlink" Target="../../../AppData/Roaming/Microsoft/Excel/Contemporary/Queen/Crazy%20Little%20Thing%20Called%20Love.mp3" TargetMode="External"/><Relationship Id="rId67" Type="http://schemas.openxmlformats.org/officeDocument/2006/relationships/hyperlink" Target="../../../AppData/Roaming/Microsoft/Excel/Contemporary/Rupert%20Holmes/Escape.mp3" TargetMode="External"/><Relationship Id="rId88" Type="http://schemas.openxmlformats.org/officeDocument/2006/relationships/hyperlink" Target="../../../AppData/Roaming/Microsoft/Excel/Contemporary/Eric%20Hutchinson/Goodnight%20Goodbye.txt" TargetMode="External"/><Relationship Id="rId111" Type="http://schemas.openxmlformats.org/officeDocument/2006/relationships/hyperlink" Target="../../../AppData/Roaming/Microsoft/Excel/Contemporary/Coldplay/Hymn%20For%20The%20Weekend.mp3" TargetMode="External"/><Relationship Id="rId132" Type="http://schemas.openxmlformats.org/officeDocument/2006/relationships/hyperlink" Target="../../../AppData/Roaming/Microsoft/Excel/Contemporary/Jason%20Mraz/Lucky.txt" TargetMode="External"/><Relationship Id="rId153" Type="http://schemas.openxmlformats.org/officeDocument/2006/relationships/hyperlink" Target="../../../AppData/Roaming/Microsoft/Excel/Contemporary/Blue/One%20Love.txt" TargetMode="External"/><Relationship Id="rId174" Type="http://schemas.openxmlformats.org/officeDocument/2006/relationships/hyperlink" Target="../../../AppData/Roaming/Microsoft/Excel/Contemporary/Adele/Skyfall.txt" TargetMode="External"/><Relationship Id="rId195" Type="http://schemas.openxmlformats.org/officeDocument/2006/relationships/hyperlink" Target="../../../AppData/Roaming/Microsoft/Excel/Contemporary/Bob%20Dylan/The%20Times%20They%20Are%20A-Changin'.mp3" TargetMode="External"/><Relationship Id="rId209" Type="http://schemas.openxmlformats.org/officeDocument/2006/relationships/hyperlink" Target="../../../AppData/Roaming/Microsoft/Excel/Contemporary/Coldplay/Viva%20La%20Vida.mp3" TargetMode="External"/><Relationship Id="rId220" Type="http://schemas.openxmlformats.org/officeDocument/2006/relationships/hyperlink" Target="../../../AppData/Roaming/Microsoft/Excel/Contemporary/Pink%20Floyd/Wish%20You%20Were%20Here.mp3" TargetMode="External"/><Relationship Id="rId241" Type="http://schemas.openxmlformats.org/officeDocument/2006/relationships/hyperlink" Target="../../../AppData/Roaming/Microsoft/Excel/Contemporary/Red%20Hot%20Chili%20Peppers/Under%20The%20Bridge.txt" TargetMode="External"/><Relationship Id="rId15" Type="http://schemas.openxmlformats.org/officeDocument/2006/relationships/hyperlink" Target="../../../AppData/Roaming/Microsoft/Excel/Contemporary/Smash%20Mouth/All%20Star.mp3" TargetMode="External"/><Relationship Id="rId36" Type="http://schemas.openxmlformats.org/officeDocument/2006/relationships/hyperlink" Target="../../../AppData/Roaming/Microsoft/Excel/Contemporary/James%20Blunt/Carry%20You%20Home.mp3" TargetMode="External"/><Relationship Id="rId57" Type="http://schemas.openxmlformats.org/officeDocument/2006/relationships/hyperlink" Target="../../../AppData/Roaming/Microsoft/Excel/Contemporary/Norah%20Jones/Don't%20Know%20Why.txt" TargetMode="External"/><Relationship Id="rId78" Type="http://schemas.openxmlformats.org/officeDocument/2006/relationships/hyperlink" Target="../../../AppData/Roaming/Microsoft/Excel/Contemporary/Bright%20Eyes/First%20Day%20Of%20My%20Life.txt" TargetMode="External"/><Relationship Id="rId99" Type="http://schemas.openxmlformats.org/officeDocument/2006/relationships/hyperlink" Target="../../../AppData/Roaming/Microsoft/Excel/Contemporary/CCR/Have%20You%20Ever%20Seen%20The%20Rain.mp3" TargetMode="External"/><Relationship Id="rId101" Type="http://schemas.openxmlformats.org/officeDocument/2006/relationships/hyperlink" Target="../../../AppData/Roaming/Microsoft/Excel/Contemporary/3%20Doors%20Down/Here%20Without%20You.mp3" TargetMode="External"/><Relationship Id="rId122" Type="http://schemas.openxmlformats.org/officeDocument/2006/relationships/hyperlink" Target="../../../AppData/Roaming/Microsoft/Excel/Contemporary/John%20Denver/Leaving%20On%20A%20Jet%20Plane.txt" TargetMode="External"/><Relationship Id="rId143" Type="http://schemas.openxmlformats.org/officeDocument/2006/relationships/hyperlink" Target="../../../AppData/Roaming/Microsoft/Excel/Contemporary/Michael%20Learns%20To%20Rock/More%20Than%20A%20Friend.mp3" TargetMode="External"/><Relationship Id="rId164" Type="http://schemas.openxmlformats.org/officeDocument/2006/relationships/hyperlink" Target="../../../AppData/Roaming/Microsoft/Excel/Contemporary/Johnny%20Tillotson/Poetry%20In%20Motion.txt" TargetMode="External"/><Relationship Id="rId185" Type="http://schemas.openxmlformats.org/officeDocument/2006/relationships/hyperlink" Target="../../../AppData/Roaming/Microsoft/Excel/Contemporary/Coldplay/Swallowed%20in%20the%20Sea.txt" TargetMode="External"/><Relationship Id="rId4" Type="http://schemas.openxmlformats.org/officeDocument/2006/relationships/hyperlink" Target="../../../AppData/Roaming/Microsoft/Excel/Contemporary/Vanessa%20Carlton/A%20Thousand%20Miles.txt" TargetMode="External"/><Relationship Id="rId9" Type="http://schemas.openxmlformats.org/officeDocument/2006/relationships/hyperlink" Target="../../../AppData/Roaming/Microsoft/Excel/Contemporary/McFly/All%20About%20You.mp3" TargetMode="External"/><Relationship Id="rId180" Type="http://schemas.openxmlformats.org/officeDocument/2006/relationships/hyperlink" Target="../../../AppData/Roaming/Microsoft/Excel/Contemporary/Shaggy/Strength%20Of%20A%20Woman.mp3" TargetMode="External"/><Relationship Id="rId210" Type="http://schemas.openxmlformats.org/officeDocument/2006/relationships/hyperlink" Target="../../../AppData/Roaming/Microsoft/Excel/Contemporary/Avicii/Wake%20Me%20Up.txt" TargetMode="External"/><Relationship Id="rId215" Type="http://schemas.openxmlformats.org/officeDocument/2006/relationships/hyperlink" Target="../../../AppData/Roaming/Microsoft/Excel/Contemporary/Dido/White%20Flag.txt" TargetMode="External"/><Relationship Id="rId236" Type="http://schemas.openxmlformats.org/officeDocument/2006/relationships/hyperlink" Target="../../../AppData/Roaming/Microsoft/Excel/Contemporary/The%20Cranberries/Zombie.txt" TargetMode="External"/><Relationship Id="rId26" Type="http://schemas.openxmlformats.org/officeDocument/2006/relationships/hyperlink" Target="../../../AppData/Roaming/Microsoft/Excel/Contemporary/The%20Beatles/Blackbird.mp3" TargetMode="External"/><Relationship Id="rId231" Type="http://schemas.openxmlformats.org/officeDocument/2006/relationships/hyperlink" Target="../../../AppData/Roaming/Microsoft/Excel/Contemporary/Bryan%20Adams/You%20Belong%20To%20Me.txt" TargetMode="External"/><Relationship Id="rId47" Type="http://schemas.openxmlformats.org/officeDocument/2006/relationships/hyperlink" Target="../../../AppData/Roaming/Microsoft/Excel/Contemporary/Olly%20Murs/Dance%20With%20Me%20Tonight.txt" TargetMode="External"/><Relationship Id="rId68" Type="http://schemas.openxmlformats.org/officeDocument/2006/relationships/hyperlink" Target="../../../AppData/Roaming/Microsoft/Excel/Contemporary/Eric%20Hutchinson/Every%20Little%20Thing%20She%20Does%20Is%20Magic.txt" TargetMode="External"/><Relationship Id="rId89" Type="http://schemas.openxmlformats.org/officeDocument/2006/relationships/hyperlink" Target="../../../AppData/Roaming/Microsoft/Excel/Contemporary/Eric%20Hutchinson/Goodnight%20Goodbye.mp3" TargetMode="External"/><Relationship Id="rId112" Type="http://schemas.openxmlformats.org/officeDocument/2006/relationships/hyperlink" Target="../../../AppData/Roaming/Microsoft/Excel/Contemporary/Death%20Cab%20for%20Cutie/I%20Will%20Follow%20You%20Into%20The%20Dark.txt" TargetMode="External"/><Relationship Id="rId133" Type="http://schemas.openxmlformats.org/officeDocument/2006/relationships/hyperlink" Target="../../../AppData/Roaming/Microsoft/Excel/Contemporary/Jason%20Mraz/Lucky.mp3" TargetMode="External"/><Relationship Id="rId154" Type="http://schemas.openxmlformats.org/officeDocument/2006/relationships/hyperlink" Target="../../../AppData/Roaming/Microsoft/Excel/Contemporary/Blue/One%20Love.mp3" TargetMode="External"/><Relationship Id="rId175" Type="http://schemas.openxmlformats.org/officeDocument/2006/relationships/hyperlink" Target="../../../AppData/Roaming/Microsoft/Excel/Contemporary/Red%20Hot%20Chili%20Peppers/Snow.txt" TargetMode="External"/><Relationship Id="rId196" Type="http://schemas.openxmlformats.org/officeDocument/2006/relationships/hyperlink" Target="../../../AppData/Roaming/Microsoft/Excel/Contemporary/Ingrid%20Michaelson/The%20Way%20I%20Am.txt" TargetMode="External"/><Relationship Id="rId200" Type="http://schemas.openxmlformats.org/officeDocument/2006/relationships/hyperlink" Target="../../../AppData/Roaming/Microsoft/Excel/Contemporary/Michael%20Jackson/The%20Way%20You%20Make%20Me%20Feel.txt" TargetMode="External"/><Relationship Id="rId16" Type="http://schemas.openxmlformats.org/officeDocument/2006/relationships/hyperlink" Target="../../../AppData/Roaming/Microsoft/Excel/Contemporary/Juice%20Newton/Angel%20of%20the%20Morning.txt" TargetMode="External"/><Relationship Id="rId221" Type="http://schemas.openxmlformats.org/officeDocument/2006/relationships/hyperlink" Target="../../../AppData/Roaming/Microsoft/Excel/Contemporary/Eric%20Clapton/Wonderful%20Tonight.txt" TargetMode="External"/><Relationship Id="rId242" Type="http://schemas.openxmlformats.org/officeDocument/2006/relationships/hyperlink" Target="../../../AppData/Roaming/Microsoft/Excel/Contemporary/The%20Killers/When%20You%20Were%20Young.mp3" TargetMode="External"/><Relationship Id="rId37" Type="http://schemas.openxmlformats.org/officeDocument/2006/relationships/hyperlink" Target="../../../AppData/Roaming/Microsoft/Excel/Contemporary/Semisonic/Closing%20Time.txt" TargetMode="External"/><Relationship Id="rId58" Type="http://schemas.openxmlformats.org/officeDocument/2006/relationships/hyperlink" Target="../../../AppData/Roaming/Microsoft/Excel/Contemporary/Norah%20Jones/Don't%20Know%20Why.mp3" TargetMode="External"/><Relationship Id="rId79" Type="http://schemas.openxmlformats.org/officeDocument/2006/relationships/hyperlink" Target="../../../AppData/Roaming/Microsoft/Excel/Contemporary/Bright%20Eyes/First%20Day%20Of%20My%20Life.mp3" TargetMode="External"/><Relationship Id="rId102" Type="http://schemas.openxmlformats.org/officeDocument/2006/relationships/hyperlink" Target="../../../AppData/Roaming/Microsoft/Excel/Contemporary/The%20Beatles/Hey%20Jude.txt" TargetMode="External"/><Relationship Id="rId123" Type="http://schemas.openxmlformats.org/officeDocument/2006/relationships/hyperlink" Target="../../../AppData/Roaming/Microsoft/Excel/Contemporary/John%20Denver/Leaving%20On%20A%20Jet%20Plane.mp3" TargetMode="External"/><Relationship Id="rId144" Type="http://schemas.openxmlformats.org/officeDocument/2006/relationships/hyperlink" Target="../../../AppData/Roaming/Microsoft/Excel/Contemporary/Electric%20Light%20Orchestra/Mr%20Blue%20Sky.txt" TargetMode="External"/><Relationship Id="rId90" Type="http://schemas.openxmlformats.org/officeDocument/2006/relationships/hyperlink" Target="../../../AppData/Roaming/Microsoft/Excel/Contemporary/Skye%20Zentz/Grayscale.txt" TargetMode="External"/><Relationship Id="rId165" Type="http://schemas.openxmlformats.org/officeDocument/2006/relationships/hyperlink" Target="../../../AppData/Roaming/Microsoft/Excel/Contemporary/Johnny%20Tillotson/Poetry%20In%20Motion.mp3" TargetMode="External"/><Relationship Id="rId186" Type="http://schemas.openxmlformats.org/officeDocument/2006/relationships/hyperlink" Target="../../../AppData/Roaming/Microsoft/Excel/Contemporary/Coldplay/Swallowed%20in%20the%20Sea.mp3" TargetMode="External"/><Relationship Id="rId211" Type="http://schemas.openxmlformats.org/officeDocument/2006/relationships/hyperlink" Target="../../../AppData/Roaming/Microsoft/Excel/Contemporary/Green%20Day/Wake%20Me%20Up%20When%20September%20Ends.txt" TargetMode="External"/><Relationship Id="rId232" Type="http://schemas.openxmlformats.org/officeDocument/2006/relationships/hyperlink" Target="../../../AppData/Roaming/Microsoft/Excel/Contemporary/Bryan%20Adams/You%20Belong%20To%20Me.mp3" TargetMode="External"/><Relationship Id="rId27" Type="http://schemas.openxmlformats.org/officeDocument/2006/relationships/hyperlink" Target="../../../AppData/Roaming/Microsoft/Excel/Contemporary/Bob%20Dylan/Blowin'%20In%20The%20Wind.txt" TargetMode="External"/><Relationship Id="rId48" Type="http://schemas.openxmlformats.org/officeDocument/2006/relationships/hyperlink" Target="../../../AppData/Roaming/Microsoft/Excel/Contemporary/Olly%20Murs/Dance%20With%20Me%20Tonight.m4a" TargetMode="External"/><Relationship Id="rId69" Type="http://schemas.openxmlformats.org/officeDocument/2006/relationships/hyperlink" Target="../../../AppData/Roaming/Microsoft/Excel/Contemporary/Eric%20Hutchinson/Every%20Little%20Thing%20She%20Does%20Is%20Magic.mp3" TargetMode="External"/><Relationship Id="rId113" Type="http://schemas.openxmlformats.org/officeDocument/2006/relationships/hyperlink" Target="../../../AppData/Roaming/Microsoft/Excel/Contemporary/Death%20Cab%20for%20Cutie/I%20Will%20Follow%20You%20Into%20The%20Dark.mp3" TargetMode="External"/><Relationship Id="rId134" Type="http://schemas.openxmlformats.org/officeDocument/2006/relationships/hyperlink" Target="../../../AppData/Roaming/Microsoft/Excel/Contemporary/Adele/Make%20You%20Feel%20My%20Love.txt" TargetMode="External"/><Relationship Id="rId80" Type="http://schemas.openxmlformats.org/officeDocument/2006/relationships/hyperlink" Target="../../../AppData/Roaming/Microsoft/Excel/Contemporary/Peter,%20Paul,%20and%20Mary/Five%20Hundred%20Miles.txt" TargetMode="External"/><Relationship Id="rId155" Type="http://schemas.openxmlformats.org/officeDocument/2006/relationships/hyperlink" Target="../../../AppData/Roaming/Microsoft/Excel/Contemporary/Mikey%20McCleary/Open%20Book.txt" TargetMode="External"/><Relationship Id="rId176" Type="http://schemas.openxmlformats.org/officeDocument/2006/relationships/hyperlink" Target="../../../AppData/Roaming/Microsoft/Excel/Contemporary/Nickel%20Creek/Spit%20On%20A%20Stranger.txt" TargetMode="External"/><Relationship Id="rId197" Type="http://schemas.openxmlformats.org/officeDocument/2006/relationships/hyperlink" Target="../../../AppData/Roaming/Microsoft/Excel/Contemporary/Ingrid%20Michaelson/The%20Way%20I%20Am.mp3" TargetMode="External"/><Relationship Id="rId201" Type="http://schemas.openxmlformats.org/officeDocument/2006/relationships/hyperlink" Target="../../../AppData/Roaming/Microsoft/Excel/Contemporary/Michael%20Jackson/The%20Way%20You%20Make%20Me%20Feel.mp3" TargetMode="External"/><Relationship Id="rId222" Type="http://schemas.openxmlformats.org/officeDocument/2006/relationships/hyperlink" Target="../../../AppData/Roaming/Microsoft/Excel/Contemporary/Eric%20Clapton/Wonderful%20Tonight.mp3" TargetMode="External"/><Relationship Id="rId243" Type="http://schemas.openxmlformats.org/officeDocument/2006/relationships/hyperlink" Target="../../../AppData/Roaming/Microsoft/Excel/Contemporary/The%20Killers/When%20You%20Were%20Young.txt" TargetMode="External"/><Relationship Id="rId17" Type="http://schemas.openxmlformats.org/officeDocument/2006/relationships/hyperlink" Target="../../../AppData/Roaming/Microsoft/Excel/Contemporary/Juice%20Newton/Angel%20of%20the%20Morning.mp3" TargetMode="External"/><Relationship Id="rId38" Type="http://schemas.openxmlformats.org/officeDocument/2006/relationships/hyperlink" Target="../../../AppData/Roaming/Microsoft/Excel/Contemporary/Semisonic/Closing%20Time.mp3" TargetMode="External"/><Relationship Id="rId59" Type="http://schemas.openxmlformats.org/officeDocument/2006/relationships/hyperlink" Target="../../../AppData/Roaming/Microsoft/Excel/Contemporary/Oasis/Don't%20Look%20Back%20In%20Anger.txt" TargetMode="External"/><Relationship Id="rId103" Type="http://schemas.openxmlformats.org/officeDocument/2006/relationships/hyperlink" Target="../../../AppData/Roaming/Microsoft/Excel/Contemporary/The%20Beatles/Hey%20Jude.mp3" TargetMode="External"/><Relationship Id="rId124" Type="http://schemas.openxmlformats.org/officeDocument/2006/relationships/hyperlink" Target="../../../AppData/Roaming/Microsoft/Excel/Contemporary/Fool's%20Garden/Lemon%20Tree.txt" TargetMode="External"/><Relationship Id="rId70" Type="http://schemas.openxmlformats.org/officeDocument/2006/relationships/hyperlink" Target="../../../AppData/Roaming/Microsoft/Excel/Contemporary/Michael%20Buble/Everything.txt" TargetMode="External"/><Relationship Id="rId91" Type="http://schemas.openxmlformats.org/officeDocument/2006/relationships/hyperlink" Target="../../../AppData/Roaming/Microsoft/Excel/Contemporary/Skye%20Zentz/Grayscale.mp3" TargetMode="External"/><Relationship Id="rId145" Type="http://schemas.openxmlformats.org/officeDocument/2006/relationships/hyperlink" Target="../../../AppData/Roaming/Microsoft/Excel/Contemporary/Electric%20Light%20Orchestra/Mr%20Blue%20Sky.mp3" TargetMode="External"/><Relationship Id="rId166" Type="http://schemas.openxmlformats.org/officeDocument/2006/relationships/hyperlink" Target="../../../AppData/Roaming/Microsoft/Excel/Contemporary/Jessie%20J/Price%20Tag.txt" TargetMode="External"/><Relationship Id="rId187" Type="http://schemas.openxmlformats.org/officeDocument/2006/relationships/hyperlink" Target="../../../AppData/Roaming/Microsoft/Excel/Contemporary/Mumford%20And%20Sons/The%20Cave.txt" TargetMode="External"/><Relationship Id="rId1" Type="http://schemas.openxmlformats.org/officeDocument/2006/relationships/hyperlink" Target="../../../AppData/Roaming/Microsoft/Excel/Contemporary/Eric%20Hutchinson/A%20Little%20More.txt" TargetMode="External"/><Relationship Id="rId212" Type="http://schemas.openxmlformats.org/officeDocument/2006/relationships/hyperlink" Target="../../../AppData/Roaming/Microsoft/Excel/Contemporary/Green%20Day/Wake%20Me%20Up%20When%20September%20Ends.mp3" TargetMode="External"/><Relationship Id="rId233" Type="http://schemas.openxmlformats.org/officeDocument/2006/relationships/hyperlink" Target="../../../AppData/Roaming/Microsoft/Excel/Contemporary/The%20Beatles/You've%20Got%20To%20Hide%20Your%20Love%20Away.txt" TargetMode="External"/><Relationship Id="rId28" Type="http://schemas.openxmlformats.org/officeDocument/2006/relationships/hyperlink" Target="../../../AppData/Roaming/Microsoft/Excel/Contemporary/Deep%20Blue%20Something/Breakfast%20At%20Tiffany's.txt" TargetMode="External"/><Relationship Id="rId49" Type="http://schemas.openxmlformats.org/officeDocument/2006/relationships/hyperlink" Target="../../../AppData/Roaming/Microsoft/Excel/Contemporary/Toploader/Dancing%20in%20the%20Moonlight.txt" TargetMode="External"/><Relationship Id="rId114" Type="http://schemas.openxmlformats.org/officeDocument/2006/relationships/hyperlink" Target="../../../AppData/Roaming/Microsoft/Excel/Contemporary/The%20Rembrandts/I'll%20Be%20There%20For%20You.txt" TargetMode="External"/><Relationship Id="rId60" Type="http://schemas.openxmlformats.org/officeDocument/2006/relationships/hyperlink" Target="../../../AppData/Roaming/Microsoft/Excel/Contemporary/Various/Dream%20A%20Little%20Dream%20of%20Me.txt" TargetMode="External"/><Relationship Id="rId81" Type="http://schemas.openxmlformats.org/officeDocument/2006/relationships/hyperlink" Target="../../../AppData/Roaming/Microsoft/Excel/Contemporary/Coldplay/Fix%20You.txt" TargetMode="External"/><Relationship Id="rId135" Type="http://schemas.openxmlformats.org/officeDocument/2006/relationships/hyperlink" Target="../../../AppData/Roaming/Microsoft/Excel/Contemporary/Adele/Make%20You%20Feel%20My%20Love.mp3" TargetMode="External"/><Relationship Id="rId156" Type="http://schemas.openxmlformats.org/officeDocument/2006/relationships/hyperlink" Target="../../../AppData/Roaming/Microsoft/Excel/Contemporary/Mikey%20McCleary/Open%20Book.mp3" TargetMode="External"/><Relationship Id="rId177" Type="http://schemas.openxmlformats.org/officeDocument/2006/relationships/hyperlink" Target="../../../AppData/Roaming/Microsoft/Excel/Contemporary/Nickel%20Creek/Spit%20On%20A%20Stranger.mp3" TargetMode="External"/><Relationship Id="rId198" Type="http://schemas.openxmlformats.org/officeDocument/2006/relationships/hyperlink" Target="../../../AppData/Roaming/Microsoft/Excel/Contemporary/Frank%20Sinatra/The%20Way%20You%20Look%20Tonight.txt" TargetMode="External"/><Relationship Id="rId202" Type="http://schemas.openxmlformats.org/officeDocument/2006/relationships/hyperlink" Target="../../../AppData/Roaming/Microsoft/Excel/Contemporary/Maroon%205/This%20Love.txt" TargetMode="External"/><Relationship Id="rId223" Type="http://schemas.openxmlformats.org/officeDocument/2006/relationships/hyperlink" Target="../../../AppData/Roaming/Microsoft/Excel/Contemporary/Oasis/Wonderwall.txt" TargetMode="External"/><Relationship Id="rId244" Type="http://schemas.openxmlformats.org/officeDocument/2006/relationships/hyperlink" Target="../../../AppData/Roaming/Microsoft/Excel/Contemporary/Billy%20Joel/Uptown%20Girl.mp3" TargetMode="External"/><Relationship Id="rId18" Type="http://schemas.openxmlformats.org/officeDocument/2006/relationships/hyperlink" Target="../../../AppData/Roaming/Microsoft/Excel/Contemporary/Robbie%20Williams/Angels.txt" TargetMode="External"/><Relationship Id="rId39" Type="http://schemas.openxmlformats.org/officeDocument/2006/relationships/hyperlink" Target="../../../AppData/Roaming/Microsoft/Excel/Contemporary/Bryan%20Adams/Cloud%20Number%20Nine.txt" TargetMode="External"/><Relationship Id="rId50" Type="http://schemas.openxmlformats.org/officeDocument/2006/relationships/hyperlink" Target="../../../AppData/Roaming/Microsoft/Excel/Contemporary/Toploader/Dancing%20in%20the%20Moonlight.mp3" TargetMode="External"/><Relationship Id="rId104" Type="http://schemas.openxmlformats.org/officeDocument/2006/relationships/hyperlink" Target="../../../AppData/Roaming/Microsoft/Excel/Contemporary/Plain%20White%20T's/Hey%20There%20Delilah.txt" TargetMode="External"/><Relationship Id="rId125" Type="http://schemas.openxmlformats.org/officeDocument/2006/relationships/hyperlink" Target="../../../AppData/Roaming/Microsoft/Excel/Contemporary/Fool's%20Garden/Lemon%20Tree.mp3" TargetMode="External"/><Relationship Id="rId146" Type="http://schemas.openxmlformats.org/officeDocument/2006/relationships/hyperlink" Target="../../../AppData/Roaming/Microsoft/Excel/Contemporary/Westlife/My%20Love.txt" TargetMode="External"/><Relationship Id="rId167" Type="http://schemas.openxmlformats.org/officeDocument/2006/relationships/hyperlink" Target="../../../AppData/Roaming/Microsoft/Excel/Contemporary/Engelbert%20Humperdinck/Quando%20Quando%20Quando.txt" TargetMode="External"/><Relationship Id="rId188" Type="http://schemas.openxmlformats.org/officeDocument/2006/relationships/hyperlink" Target="../../../AppData/Roaming/Microsoft/Excel/Contemporary/Mumford%20And%20Sons/The%20Cave.mp3" TargetMode="External"/><Relationship Id="rId71" Type="http://schemas.openxmlformats.org/officeDocument/2006/relationships/hyperlink" Target="../../../AppData/Roaming/Microsoft/Excel/Contemporary/Michael%20Buble/Everything.mp3" TargetMode="External"/><Relationship Id="rId92" Type="http://schemas.openxmlformats.org/officeDocument/2006/relationships/hyperlink" Target="../../../AppData/Roaming/Microsoft/Excel/Contemporary/Bruno%20Mars/Grenade.txt" TargetMode="External"/><Relationship Id="rId213" Type="http://schemas.openxmlformats.org/officeDocument/2006/relationships/hyperlink" Target="../../../AppData/Roaming/Microsoft/Excel/Contemporary/4%20Non%20Blondes/What's%20Up.txt" TargetMode="External"/><Relationship Id="rId234" Type="http://schemas.openxmlformats.org/officeDocument/2006/relationships/hyperlink" Target="../../../AppData/Roaming/Microsoft/Excel/Contemporary/Elton%20John/Your%20Song.txt" TargetMode="External"/><Relationship Id="rId2" Type="http://schemas.openxmlformats.org/officeDocument/2006/relationships/hyperlink" Target="../../../AppData/Roaming/Microsoft/Excel/Contemporary/Eric%20Hutchinson/A%20Little%20More%20(acoustic).mp3" TargetMode="External"/><Relationship Id="rId29" Type="http://schemas.openxmlformats.org/officeDocument/2006/relationships/hyperlink" Target="../../../AppData/Roaming/Microsoft/Excel/Contemporary/Deep%20Blue%20Something/Breakfast%20At%20Tiffany's.mp3" TargetMode="External"/><Relationship Id="rId40" Type="http://schemas.openxmlformats.org/officeDocument/2006/relationships/hyperlink" Target="../../../AppData/Roaming/Microsoft/Excel/Contemporary/Bryan%20Adams/Cloud%20Number%20Nine.mp3" TargetMode="External"/><Relationship Id="rId115" Type="http://schemas.openxmlformats.org/officeDocument/2006/relationships/hyperlink" Target="../../../AppData/Roaming/Microsoft/Excel/Contemporary/The%20Rembrandts/I'll%20Be%20There%20For%20You.mp3" TargetMode="External"/><Relationship Id="rId136" Type="http://schemas.openxmlformats.org/officeDocument/2006/relationships/hyperlink" Target="../../../AppData/Roaming/Microsoft/Excel/Contemporary/Tom%20Petty%20and%20The%20Heartbreakers/Mary%20Jane's%20Last%20Dance.txt" TargetMode="External"/><Relationship Id="rId157" Type="http://schemas.openxmlformats.org/officeDocument/2006/relationships/hyperlink" Target="../../../AppData/Roaming/Microsoft/Excel/Contemporary/Coldplay/Paradise.txt" TargetMode="External"/><Relationship Id="rId178" Type="http://schemas.openxmlformats.org/officeDocument/2006/relationships/hyperlink" Target="../../../AppData/Roaming/Microsoft/Excel/Contemporary/Led%20Zeppelin/Stairway%20To%20Heaven.txt" TargetMode="External"/><Relationship Id="rId61" Type="http://schemas.openxmlformats.org/officeDocument/2006/relationships/hyperlink" Target="../../../AppData/Roaming/Microsoft/Excel/Contemporary/Various/Dream%20A%20Little%20Dream%20of%20Me.mp3" TargetMode="External"/><Relationship Id="rId82" Type="http://schemas.openxmlformats.org/officeDocument/2006/relationships/hyperlink" Target="../../../AppData/Roaming/Microsoft/Excel/Contemporary/Coldplay/Fix%20You.mp3" TargetMode="External"/><Relationship Id="rId199" Type="http://schemas.openxmlformats.org/officeDocument/2006/relationships/hyperlink" Target="../../../AppData/Roaming/Microsoft/Excel/Contemporary/Frank%20Sinatra/The%20Way%20You%20Look%20Tonight.m4a" TargetMode="External"/><Relationship Id="rId203" Type="http://schemas.openxmlformats.org/officeDocument/2006/relationships/hyperlink" Target="../../../AppData/Roaming/Microsoft/Excel/Contemporary/Maroon%205/This%20Love.mp3" TargetMode="External"/><Relationship Id="rId19" Type="http://schemas.openxmlformats.org/officeDocument/2006/relationships/hyperlink" Target="../../../AppData/Roaming/Microsoft/Excel/Contemporary/Robbie%20Williams/Angels.mp3" TargetMode="External"/><Relationship Id="rId224" Type="http://schemas.openxmlformats.org/officeDocument/2006/relationships/hyperlink" Target="../../../AppData/Roaming/Microsoft/Excel/Contemporary/Oasis/Wonderwall.mp3" TargetMode="External"/><Relationship Id="rId245" Type="http://schemas.openxmlformats.org/officeDocument/2006/relationships/hyperlink" Target="../../../AppData/Roaming/Microsoft/Excel/Contemporary/Billy%20Joel/Uptown%20Girl.txt" TargetMode="External"/><Relationship Id="rId30" Type="http://schemas.openxmlformats.org/officeDocument/2006/relationships/hyperlink" Target="../../../AppData/Roaming/Microsoft/Excel/Contemporary/Van%20Morrison/Brown%20Eyed%20Girl.txt" TargetMode="External"/><Relationship Id="rId105" Type="http://schemas.openxmlformats.org/officeDocument/2006/relationships/hyperlink" Target="../../../AppData/Roaming/Microsoft/Excel/Contemporary/Plain%20White%20T's/Hey%20There%20Delilah.mp3" TargetMode="External"/><Relationship Id="rId126" Type="http://schemas.openxmlformats.org/officeDocument/2006/relationships/hyperlink" Target="../../../AppData/Roaming/Microsoft/Excel/Contemporary/Passenger/Let%20Her%20Go.txt" TargetMode="External"/><Relationship Id="rId147" Type="http://schemas.openxmlformats.org/officeDocument/2006/relationships/hyperlink" Target="../../../AppData/Roaming/Microsoft/Excel/Contemporary/Westlife/My%20Love.mp3" TargetMode="External"/><Relationship Id="rId168" Type="http://schemas.openxmlformats.org/officeDocument/2006/relationships/hyperlink" Target="../../../AppData/Roaming/Microsoft/Excel/Contemporary/Plain%20White%20T's/Rhythm%20of%20Love.txt" TargetMode="External"/><Relationship Id="rId51" Type="http://schemas.openxmlformats.org/officeDocument/2006/relationships/hyperlink" Target="../../../AppData/Roaming/Microsoft/Excel/Contemporary/John%20Mayer/Daughters.txt" TargetMode="External"/><Relationship Id="rId72" Type="http://schemas.openxmlformats.org/officeDocument/2006/relationships/hyperlink" Target="../../../AppData/Roaming/Microsoft/Excel/Contemporary/Bread/Everything%20I%20Own.txt" TargetMode="External"/><Relationship Id="rId93" Type="http://schemas.openxmlformats.org/officeDocument/2006/relationships/hyperlink" Target="../../../AppData/Roaming/Microsoft/Excel/Contemporary/Bruno%20Mars/Grenade.mp3" TargetMode="External"/><Relationship Id="rId189" Type="http://schemas.openxmlformats.org/officeDocument/2006/relationships/hyperlink" Target="../../../AppData/Roaming/Microsoft/Excel/Contemporary/Bruno%20Mars/The%20Lazy%20Song.txt" TargetMode="External"/><Relationship Id="rId3" Type="http://schemas.openxmlformats.org/officeDocument/2006/relationships/hyperlink" Target="../../../AppData/Roaming/Microsoft/Excel/Contemporary/Robbie%20Williams/A%20Man%20For%20All%20Seasons.txt" TargetMode="External"/><Relationship Id="rId214" Type="http://schemas.openxmlformats.org/officeDocument/2006/relationships/hyperlink" Target="../../../AppData/Roaming/Microsoft/Excel/Contemporary/4%20Non%20Blondes/What's%20Up.mp3" TargetMode="External"/><Relationship Id="rId235" Type="http://schemas.openxmlformats.org/officeDocument/2006/relationships/hyperlink" Target="../../../AppData/Roaming/Microsoft/Excel/Contemporary/Elton%20John/Your%20Song.mp3" TargetMode="External"/><Relationship Id="rId116" Type="http://schemas.openxmlformats.org/officeDocument/2006/relationships/hyperlink" Target="../../../AppData/Roaming/Microsoft/Excel/Contemporary/The%20Monkees/I'm%20a%20Believer.txt" TargetMode="External"/><Relationship Id="rId137" Type="http://schemas.openxmlformats.org/officeDocument/2006/relationships/hyperlink" Target="../../../AppData/Roaming/Microsoft/Excel/Contemporary/Tom%20Petty%20and%20The%20Heartbreakers/Mary%20Jane's%20Last%20Dance.mp3" TargetMode="External"/><Relationship Id="rId158" Type="http://schemas.openxmlformats.org/officeDocument/2006/relationships/hyperlink" Target="../../../AppData/Roaming/Microsoft/Excel/Contemporary/Coldplay/Paradise.mp3" TargetMode="External"/><Relationship Id="rId20" Type="http://schemas.openxmlformats.org/officeDocument/2006/relationships/hyperlink" Target="../../../AppData/Roaming/Microsoft/Excel/Contemporary/John%20Denver/Annie's%20Song.txt" TargetMode="External"/><Relationship Id="rId41" Type="http://schemas.openxmlformats.org/officeDocument/2006/relationships/hyperlink" Target="../../../AppData/Roaming/Microsoft/Excel/Contemporary/Bruno%20Mars/Count%20On%20Me.txt" TargetMode="External"/><Relationship Id="rId62" Type="http://schemas.openxmlformats.org/officeDocument/2006/relationships/hyperlink" Target="../../../AppData/Roaming/Microsoft/Excel/Contemporary/The%20Penguins/Earth%20Angel.txt" TargetMode="External"/><Relationship Id="rId83" Type="http://schemas.openxmlformats.org/officeDocument/2006/relationships/hyperlink" Target="../../../AppData/Roaming/Microsoft/Excel/Contemporary/Frank%20Sinatra/Fly%20Me%20To%20The%20Moon.txt" TargetMode="External"/><Relationship Id="rId179" Type="http://schemas.openxmlformats.org/officeDocument/2006/relationships/hyperlink" Target="../../../AppData/Roaming/Microsoft/Excel/Contemporary/Shaggy/Strength%20Of%20A%20Woman.txt" TargetMode="External"/><Relationship Id="rId190" Type="http://schemas.openxmlformats.org/officeDocument/2006/relationships/hyperlink" Target="../../../AppData/Roaming/Microsoft/Excel/Contemporary/Bruno%20Mars/The%20Lazy%20Song.mp3" TargetMode="External"/><Relationship Id="rId204" Type="http://schemas.openxmlformats.org/officeDocument/2006/relationships/hyperlink" Target="../../../AppData/Roaming/Microsoft/Excel/Contemporary/The%20Carpenters/Top%20Of%20The%20World.mp3" TargetMode="External"/><Relationship Id="rId225" Type="http://schemas.openxmlformats.org/officeDocument/2006/relationships/hyperlink" Target="../../../AppData/Roaming/Microsoft/Excel/Contemporary/Coldplay/Yellow.txt" TargetMode="External"/><Relationship Id="rId246" Type="http://schemas.openxmlformats.org/officeDocument/2006/relationships/hyperlink" Target="../../../AppData/Roaming/Microsoft/Excel/Contemporary/Matchbox%2020/Unwell.mp3" TargetMode="External"/><Relationship Id="rId106" Type="http://schemas.openxmlformats.org/officeDocument/2006/relationships/hyperlink" Target="../../../AppData/Roaming/Microsoft/Excel/Contemporary/Train/Hey,%20Soul%20Sister.txt" TargetMode="External"/><Relationship Id="rId127" Type="http://schemas.openxmlformats.org/officeDocument/2006/relationships/hyperlink" Target="../../../AppData/Roaming/Microsoft/Excel/Contemporary/Passenger/Let%20Her%20Go.mp3" TargetMode="External"/><Relationship Id="rId10" Type="http://schemas.openxmlformats.org/officeDocument/2006/relationships/hyperlink" Target="../../../AppData/Roaming/Microsoft/Excel/Contemporary/Everly%20Brothers/All%20I%20Have%20To%20Do%20Is%20Dream.txt" TargetMode="External"/><Relationship Id="rId31" Type="http://schemas.openxmlformats.org/officeDocument/2006/relationships/hyperlink" Target="../../../AppData/Roaming/Microsoft/Excel/Contemporary/George%20Ezra/Budapest.txt" TargetMode="External"/><Relationship Id="rId52" Type="http://schemas.openxmlformats.org/officeDocument/2006/relationships/hyperlink" Target="../../../AppData/Roaming/Microsoft/Excel/Contemporary/John%20Mayer/Daughters.mp3" TargetMode="External"/><Relationship Id="rId73" Type="http://schemas.openxmlformats.org/officeDocument/2006/relationships/hyperlink" Target="../../../AppData/Roaming/Microsoft/Excel/Contemporary/Bread/Everything%20I%20Own.mp3" TargetMode="External"/><Relationship Id="rId94" Type="http://schemas.openxmlformats.org/officeDocument/2006/relationships/hyperlink" Target="../../../AppData/Roaming/Microsoft/Excel/Contemporary/Bread/The%20Guitar%20Man.txt" TargetMode="External"/><Relationship Id="rId148" Type="http://schemas.openxmlformats.org/officeDocument/2006/relationships/hyperlink" Target="../../../AppData/Roaming/Microsoft/Excel/Contemporary/The%20Beatles/Norwegian%20Wood.txt" TargetMode="External"/><Relationship Id="rId169" Type="http://schemas.openxmlformats.org/officeDocument/2006/relationships/hyperlink" Target="../../../AppData/Roaming/Microsoft/Excel/Contemporary/Plain%20White%20T's/Rhythm%20of%20Love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W331"/>
  <sheetViews>
    <sheetView tabSelected="1" zoomScaleNormal="100" workbookViewId="0">
      <pane ySplit="1" topLeftCell="A291" activePane="bottomLeft" state="frozen"/>
      <selection pane="bottomLeft" activeCell="A310" sqref="A310:XFD312"/>
    </sheetView>
  </sheetViews>
  <sheetFormatPr defaultColWidth="9.28515625" defaultRowHeight="13.5" x14ac:dyDescent="0.25"/>
  <cols>
    <col min="1" max="1" width="1.28515625" style="54" customWidth="1"/>
    <col min="2" max="2" width="4.42578125" style="54" customWidth="1"/>
    <col min="3" max="3" width="4.7109375" style="54" bestFit="1" customWidth="1"/>
    <col min="4" max="4" width="30.28515625" style="58" customWidth="1"/>
    <col min="5" max="5" width="17.5703125" style="54" customWidth="1"/>
    <col min="6" max="6" width="11.28515625" style="54" customWidth="1"/>
    <col min="7" max="7" width="4.7109375" style="69" customWidth="1"/>
    <col min="8" max="8" width="11" style="54" customWidth="1"/>
    <col min="9" max="9" width="15.28515625" style="54" customWidth="1"/>
    <col min="10" max="10" width="9" style="54" customWidth="1"/>
    <col min="11" max="11" width="62.140625" style="54" customWidth="1"/>
    <col min="12" max="12" width="2.42578125" style="76" customWidth="1"/>
    <col min="13" max="13" width="23.7109375" style="54" customWidth="1"/>
    <col min="14" max="14" width="7.7109375" style="54" customWidth="1"/>
    <col min="15" max="15" width="11.42578125" style="54" customWidth="1"/>
    <col min="16" max="16" width="5" style="54" customWidth="1"/>
    <col min="17" max="17" width="9.140625" style="54" bestFit="1" customWidth="1"/>
    <col min="18" max="18" width="6.28515625" style="54" bestFit="1" customWidth="1"/>
    <col min="19" max="19" width="6.7109375" style="54" customWidth="1"/>
    <col min="20" max="20" width="9" style="54" bestFit="1" customWidth="1"/>
    <col min="21" max="21" width="6.85546875" style="54" bestFit="1" customWidth="1"/>
    <col min="22" max="22" width="8.28515625" style="54" bestFit="1" customWidth="1"/>
    <col min="23" max="23" width="4.7109375" style="54" bestFit="1" customWidth="1"/>
    <col min="24" max="16384" width="9.28515625" style="54"/>
  </cols>
  <sheetData>
    <row r="1" spans="1:23" ht="15" x14ac:dyDescent="0.3">
      <c r="A1" s="48"/>
      <c r="B1" s="49" t="s">
        <v>1</v>
      </c>
      <c r="C1" s="49" t="s">
        <v>2</v>
      </c>
      <c r="D1" s="50" t="s">
        <v>3</v>
      </c>
      <c r="E1" s="49" t="s">
        <v>4</v>
      </c>
      <c r="F1" s="49" t="s">
        <v>5</v>
      </c>
      <c r="G1" s="51" t="s">
        <v>6</v>
      </c>
      <c r="H1" s="49" t="s">
        <v>564</v>
      </c>
      <c r="I1" s="49" t="s">
        <v>8</v>
      </c>
      <c r="J1" s="49"/>
      <c r="K1" s="49" t="s">
        <v>792</v>
      </c>
      <c r="L1" s="52"/>
      <c r="M1" s="54" t="s">
        <v>3</v>
      </c>
      <c r="N1" s="54" t="s">
        <v>4</v>
      </c>
      <c r="O1" s="54" t="s">
        <v>775</v>
      </c>
      <c r="P1" s="54" t="s">
        <v>575</v>
      </c>
      <c r="Q1" s="54" t="s">
        <v>776</v>
      </c>
      <c r="R1" s="54" t="s">
        <v>203</v>
      </c>
      <c r="S1" s="54" t="s">
        <v>777</v>
      </c>
      <c r="T1" s="54" t="s">
        <v>778</v>
      </c>
      <c r="U1" s="54" t="s">
        <v>492</v>
      </c>
      <c r="V1" s="54" t="s">
        <v>235</v>
      </c>
      <c r="W1" s="54" t="s">
        <v>803</v>
      </c>
    </row>
    <row r="2" spans="1:23" ht="15" hidden="1" x14ac:dyDescent="0.3">
      <c r="A2" s="55"/>
      <c r="B2" s="55"/>
      <c r="C2" s="53"/>
      <c r="D2" s="56"/>
      <c r="E2" s="55"/>
      <c r="F2" s="55"/>
      <c r="G2" s="57"/>
      <c r="H2" s="55"/>
      <c r="I2" s="55"/>
      <c r="J2" s="55"/>
      <c r="K2" s="55"/>
      <c r="L2" s="75"/>
    </row>
    <row r="3" spans="1:23" ht="15" x14ac:dyDescent="0.3">
      <c r="A3" s="87">
        <f ca="1">RAND()</f>
        <v>0.81236921970499887</v>
      </c>
      <c r="B3" s="87" t="s">
        <v>1</v>
      </c>
      <c r="C3" s="88" t="s">
        <v>361</v>
      </c>
      <c r="D3" s="89" t="s">
        <v>636</v>
      </c>
      <c r="E3" s="90" t="s">
        <v>11</v>
      </c>
      <c r="F3" s="90"/>
      <c r="G3" s="91">
        <v>2007</v>
      </c>
      <c r="H3" s="90" t="s">
        <v>12</v>
      </c>
      <c r="I3" s="90" t="s">
        <v>13</v>
      </c>
      <c r="J3" s="90" t="s">
        <v>1481</v>
      </c>
      <c r="K3" s="90" t="str">
        <f>CONCATENATE(SUBSTITUTE(Spotify!J3,",",";"),";",J3)</f>
        <v>;pop;alternative;love;dance</v>
      </c>
      <c r="L3" s="86"/>
      <c r="M3" s="54">
        <f>Spotify!B3</f>
        <v>1973</v>
      </c>
      <c r="N3" s="92" t="str">
        <f>Spotify!D3</f>
        <v>James Blunt</v>
      </c>
      <c r="O3" s="92">
        <f>Spotify!E3</f>
        <v>39330</v>
      </c>
      <c r="P3" s="54">
        <f>ROUND(Spotify!U3,0)</f>
        <v>123</v>
      </c>
      <c r="Q3" s="54">
        <f>ROUND(Spotify!L3*100,0)</f>
        <v>67</v>
      </c>
      <c r="R3" s="54">
        <f>ROUND(Spotify!K3*100,0)</f>
        <v>72</v>
      </c>
      <c r="S3" s="54">
        <f>Spotify!N3</f>
        <v>-7.9279999999999999</v>
      </c>
      <c r="T3" s="54">
        <f>ROUND(Spotify!T3*100,0)</f>
        <v>77</v>
      </c>
      <c r="U3" s="54">
        <f>ROUND(Spotify!F3/60000,1)</f>
        <v>4.7</v>
      </c>
      <c r="V3" s="54">
        <f>ROUND(Spotify!Q3*100,0)</f>
        <v>7</v>
      </c>
      <c r="W3" s="54">
        <f>Spotify!G3</f>
        <v>75</v>
      </c>
    </row>
    <row r="4" spans="1:23" ht="15" x14ac:dyDescent="0.3">
      <c r="A4" s="87"/>
      <c r="B4" s="87"/>
      <c r="C4" s="88" t="s">
        <v>46</v>
      </c>
      <c r="D4" s="89" t="s">
        <v>1605</v>
      </c>
      <c r="E4" s="90" t="s">
        <v>90</v>
      </c>
      <c r="F4" s="90"/>
      <c r="G4" s="91">
        <v>1964</v>
      </c>
      <c r="H4" s="90" t="s">
        <v>12</v>
      </c>
      <c r="I4" s="90"/>
      <c r="J4" s="90" t="s">
        <v>1439</v>
      </c>
      <c r="K4" s="90" t="str">
        <f>CONCATENATE(SUBSTITUTE(Spotify!J4,",",";"),";",J4)</f>
        <v>classic rock;psychedelic rock;dance;jive;fast;groovy;love;oldies;retro</v>
      </c>
      <c r="L4" s="86"/>
      <c r="M4" s="54" t="str">
        <f>Spotify!B4</f>
        <v>A Hard Day's Night - Remastered 2015</v>
      </c>
      <c r="N4" s="92" t="str">
        <f>Spotify!D4</f>
        <v>The Beatles</v>
      </c>
      <c r="O4" s="92">
        <f>Spotify!E4</f>
        <v>36843</v>
      </c>
      <c r="P4" s="54">
        <f>ROUND(Spotify!U4,0)</f>
        <v>139</v>
      </c>
      <c r="Q4" s="54">
        <f>ROUND(Spotify!L4*100,0)</f>
        <v>82</v>
      </c>
      <c r="R4" s="54">
        <f>ROUND(Spotify!K4*100,0)</f>
        <v>55</v>
      </c>
      <c r="S4" s="54">
        <f>Spotify!N4</f>
        <v>-4.8899999999999997</v>
      </c>
      <c r="T4" s="54">
        <f>ROUND(Spotify!T4*100,0)</f>
        <v>76</v>
      </c>
      <c r="U4" s="54">
        <f>ROUND(Spotify!F4/60000,1)</f>
        <v>2.5</v>
      </c>
      <c r="V4" s="54">
        <f>ROUND(Spotify!Q4*100,0)</f>
        <v>5</v>
      </c>
      <c r="W4" s="54">
        <f>Spotify!G4</f>
        <v>54</v>
      </c>
    </row>
    <row r="5" spans="1:23" s="53" customFormat="1" ht="15" x14ac:dyDescent="0.3">
      <c r="A5" s="87">
        <f t="shared" ref="A5:A13" ca="1" si="0">RAND()</f>
        <v>0.52698433447671233</v>
      </c>
      <c r="B5" s="93" t="s">
        <v>1</v>
      </c>
      <c r="C5" s="94" t="s">
        <v>94</v>
      </c>
      <c r="D5" s="95" t="s">
        <v>652</v>
      </c>
      <c r="E5" s="94" t="s">
        <v>104</v>
      </c>
      <c r="F5" s="94"/>
      <c r="G5" s="96">
        <v>1968</v>
      </c>
      <c r="H5" s="94" t="s">
        <v>12</v>
      </c>
      <c r="I5" s="94"/>
      <c r="J5" s="88" t="s">
        <v>1439</v>
      </c>
      <c r="K5" s="90" t="str">
        <f>CONCATENATE(SUBSTITUTE(Spotify!J5,",",";"),";",J5)</f>
        <v>rockabilly;rock and roll;dance;jive;fast;groovy;love;oldies;retro</v>
      </c>
      <c r="L5" s="86"/>
      <c r="M5" s="54" t="str">
        <f>Spotify!B5</f>
        <v>A Little Less Conversation</v>
      </c>
      <c r="N5" s="92" t="str">
        <f>Spotify!D5</f>
        <v>Elvis Presley</v>
      </c>
      <c r="O5" s="92">
        <f>Spotify!E5</f>
        <v>2007</v>
      </c>
      <c r="P5" s="54">
        <f>ROUND(Spotify!U5,0)</f>
        <v>114</v>
      </c>
      <c r="Q5" s="54">
        <f>ROUND(Spotify!L5*100,0)</f>
        <v>80</v>
      </c>
      <c r="R5" s="54">
        <f>ROUND(Spotify!K5*100,0)</f>
        <v>58</v>
      </c>
      <c r="S5" s="54">
        <f>Spotify!N5</f>
        <v>-8.0299999999999994</v>
      </c>
      <c r="T5" s="54">
        <f>ROUND(Spotify!T5*100,0)</f>
        <v>84</v>
      </c>
      <c r="U5" s="54">
        <f>ROUND(Spotify!F5/60000,1)</f>
        <v>2</v>
      </c>
      <c r="V5" s="54">
        <f>ROUND(Spotify!Q5*100,0)</f>
        <v>15</v>
      </c>
      <c r="W5" s="54">
        <f>Spotify!G5</f>
        <v>56</v>
      </c>
    </row>
    <row r="6" spans="1:23" ht="15" x14ac:dyDescent="0.3">
      <c r="A6" s="87">
        <f t="shared" ca="1" si="0"/>
        <v>3.8804632469779055E-2</v>
      </c>
      <c r="B6" s="93" t="s">
        <v>1</v>
      </c>
      <c r="C6" s="94" t="s">
        <v>14</v>
      </c>
      <c r="D6" s="89" t="s">
        <v>15</v>
      </c>
      <c r="E6" s="97" t="s">
        <v>16</v>
      </c>
      <c r="F6" s="97"/>
      <c r="G6" s="98">
        <v>2014</v>
      </c>
      <c r="H6" s="97" t="s">
        <v>12</v>
      </c>
      <c r="I6" s="97" t="s">
        <v>13</v>
      </c>
      <c r="J6" s="90" t="s">
        <v>1377</v>
      </c>
      <c r="K6" s="90" t="str">
        <f>CONCATENATE(SUBSTITUTE(Spotify!J6,",",";"),";",J6)</f>
        <v>;fast;dance;groovy;alternative</v>
      </c>
      <c r="L6" s="86"/>
      <c r="M6" s="54" t="str">
        <f>Spotify!B6</f>
        <v>A Little More</v>
      </c>
      <c r="N6" s="92" t="str">
        <f>Spotify!D6</f>
        <v>Eric Hutchinson</v>
      </c>
      <c r="O6" s="92">
        <f>Spotify!E6</f>
        <v>41737</v>
      </c>
      <c r="P6" s="54">
        <f>ROUND(Spotify!U6,0)</f>
        <v>80</v>
      </c>
      <c r="Q6" s="54">
        <f>ROUND(Spotify!L6*100,0)</f>
        <v>74</v>
      </c>
      <c r="R6" s="54">
        <f>ROUND(Spotify!K6*100,0)</f>
        <v>64</v>
      </c>
      <c r="S6" s="54">
        <f>Spotify!N6</f>
        <v>-5.0839999999999996</v>
      </c>
      <c r="T6" s="54">
        <f>ROUND(Spotify!T6*100,0)</f>
        <v>94</v>
      </c>
      <c r="U6" s="54">
        <f>ROUND(Spotify!F6/60000,1)</f>
        <v>3.3</v>
      </c>
      <c r="V6" s="54">
        <f>ROUND(Spotify!Q6*100,0)</f>
        <v>1</v>
      </c>
      <c r="W6" s="54">
        <f>Spotify!G6</f>
        <v>44</v>
      </c>
    </row>
    <row r="7" spans="1:23" ht="15" x14ac:dyDescent="0.3">
      <c r="A7" s="87">
        <f t="shared" ca="1" si="0"/>
        <v>0.33794737519772611</v>
      </c>
      <c r="B7" s="93" t="s">
        <v>1</v>
      </c>
      <c r="C7" s="94" t="s">
        <v>17</v>
      </c>
      <c r="D7" s="89" t="s">
        <v>18</v>
      </c>
      <c r="E7" s="97" t="s">
        <v>19</v>
      </c>
      <c r="F7" s="97"/>
      <c r="G7" s="98">
        <v>2003</v>
      </c>
      <c r="H7" s="97" t="s">
        <v>20</v>
      </c>
      <c r="I7" s="97"/>
      <c r="J7" s="90" t="s">
        <v>1451</v>
      </c>
      <c r="K7" s="90" t="str">
        <f>CONCATENATE(SUBSTITUTE(Spotify!J7,",",";"),";",J7)</f>
        <v>soundtrack;score;dance;groovy</v>
      </c>
      <c r="L7" s="86"/>
      <c r="M7" s="54" t="str">
        <f>Spotify!B7</f>
        <v>Zimmer: A Man For All Seasons</v>
      </c>
      <c r="N7" s="92" t="str">
        <f>Spotify!D7</f>
        <v>Hans Zimmer;Robbie Williams</v>
      </c>
      <c r="O7" s="92">
        <f>Spotify!E7</f>
        <v>37622</v>
      </c>
      <c r="P7" s="54">
        <f>ROUND(Spotify!U7,0)</f>
        <v>124</v>
      </c>
      <c r="Q7" s="54">
        <f>ROUND(Spotify!L7*100,0)</f>
        <v>74</v>
      </c>
      <c r="R7" s="54">
        <f>ROUND(Spotify!K7*100,0)</f>
        <v>58</v>
      </c>
      <c r="S7" s="54">
        <f>Spotify!N7</f>
        <v>-8.36</v>
      </c>
      <c r="T7" s="54">
        <f>ROUND(Spotify!T7*100,0)</f>
        <v>82</v>
      </c>
      <c r="U7" s="54">
        <f>ROUND(Spotify!F7/60000,1)</f>
        <v>4</v>
      </c>
      <c r="V7" s="54">
        <f>ROUND(Spotify!Q7*100,0)</f>
        <v>1</v>
      </c>
      <c r="W7" s="54">
        <f>Spotify!G7</f>
        <v>42</v>
      </c>
    </row>
    <row r="8" spans="1:23" ht="15" x14ac:dyDescent="0.3">
      <c r="A8" s="87">
        <f t="shared" ca="1" si="0"/>
        <v>0.6719857658115812</v>
      </c>
      <c r="B8" s="93"/>
      <c r="C8" s="94"/>
      <c r="D8" s="95" t="s">
        <v>1765</v>
      </c>
      <c r="E8" s="94" t="s">
        <v>28</v>
      </c>
      <c r="F8" s="94"/>
      <c r="G8" s="96">
        <v>2014</v>
      </c>
      <c r="H8" s="94" t="s">
        <v>12</v>
      </c>
      <c r="I8" s="94" t="s">
        <v>29</v>
      </c>
      <c r="J8" s="88" t="s">
        <v>1371</v>
      </c>
      <c r="K8" s="90" t="str">
        <f>CONCATENATE(SUBSTITUTE(Spotify!J8,",",";"),";",J8)</f>
        <v>;alternative</v>
      </c>
      <c r="L8" s="86"/>
      <c r="M8" s="54" t="str">
        <f>Spotify!B8</f>
        <v>A Sky Full of Stars</v>
      </c>
      <c r="N8" s="92" t="str">
        <f>Spotify!D8</f>
        <v>Coldplay</v>
      </c>
      <c r="O8" s="92">
        <f>Spotify!E8</f>
        <v>41775</v>
      </c>
      <c r="P8" s="54">
        <f>ROUND(Spotify!U8,0)</f>
        <v>125</v>
      </c>
      <c r="Q8" s="54">
        <f>ROUND(Spotify!L8*100,0)</f>
        <v>68</v>
      </c>
      <c r="R8" s="54">
        <f>ROUND(Spotify!K8*100,0)</f>
        <v>55</v>
      </c>
      <c r="S8" s="54">
        <f>Spotify!N8</f>
        <v>-6.4740000000000002</v>
      </c>
      <c r="T8" s="54">
        <f>ROUND(Spotify!T8*100,0)</f>
        <v>16</v>
      </c>
      <c r="U8" s="54">
        <f>ROUND(Spotify!F8/60000,1)</f>
        <v>4.5</v>
      </c>
      <c r="V8" s="54">
        <f>ROUND(Spotify!Q8*100,0)</f>
        <v>1</v>
      </c>
      <c r="W8" s="54">
        <f>Spotify!G8</f>
        <v>88</v>
      </c>
    </row>
    <row r="9" spans="1:23" ht="15" x14ac:dyDescent="0.3">
      <c r="A9" s="87">
        <f t="shared" ca="1" si="0"/>
        <v>0.63150211517521548</v>
      </c>
      <c r="B9" s="93"/>
      <c r="C9" s="94" t="s">
        <v>21</v>
      </c>
      <c r="D9" s="89" t="s">
        <v>22</v>
      </c>
      <c r="E9" s="97" t="s">
        <v>23</v>
      </c>
      <c r="F9" s="97"/>
      <c r="G9" s="96">
        <v>2002</v>
      </c>
      <c r="H9" s="97" t="s">
        <v>13</v>
      </c>
      <c r="I9" s="97"/>
      <c r="J9" s="90" t="s">
        <v>1519</v>
      </c>
      <c r="K9" s="90" t="str">
        <f>CONCATENATE(SUBSTITUTE(Spotify!J9,",",";"),";",J9)</f>
        <v>;dance;groovy;love;waltz</v>
      </c>
      <c r="L9" s="86"/>
      <c r="M9" s="54" t="str">
        <f>Spotify!B9</f>
        <v>A Thousand Miles</v>
      </c>
      <c r="N9" s="92" t="str">
        <f>Spotify!D9</f>
        <v>Vanessa Carlton</v>
      </c>
      <c r="O9" s="92">
        <f>Spotify!E9</f>
        <v>37376</v>
      </c>
      <c r="P9" s="54">
        <f>ROUND(Spotify!U9,0)</f>
        <v>95</v>
      </c>
      <c r="Q9" s="54">
        <f>ROUND(Spotify!L9*100,0)</f>
        <v>83</v>
      </c>
      <c r="R9" s="54">
        <f>ROUND(Spotify!K9*100,0)</f>
        <v>56</v>
      </c>
      <c r="S9" s="54">
        <f>Spotify!N9</f>
        <v>-3.8620000000000001</v>
      </c>
      <c r="T9" s="54">
        <f>ROUND(Spotify!T9*100,0)</f>
        <v>27</v>
      </c>
      <c r="U9" s="54">
        <f>ROUND(Spotify!F9/60000,1)</f>
        <v>4</v>
      </c>
      <c r="V9" s="54">
        <f>ROUND(Spotify!Q9*100,0)</f>
        <v>32</v>
      </c>
      <c r="W9" s="54">
        <f>Spotify!G9</f>
        <v>83</v>
      </c>
    </row>
    <row r="10" spans="1:23" ht="15" x14ac:dyDescent="0.3">
      <c r="A10" s="87">
        <f t="shared" ca="1" si="0"/>
        <v>7.9094886560823641E-2</v>
      </c>
      <c r="B10" s="93"/>
      <c r="C10" s="94" t="s">
        <v>93</v>
      </c>
      <c r="D10" s="89" t="s">
        <v>24</v>
      </c>
      <c r="E10" s="94" t="s">
        <v>25</v>
      </c>
      <c r="F10" s="94"/>
      <c r="G10" s="96">
        <v>2011</v>
      </c>
      <c r="H10" s="94" t="s">
        <v>20</v>
      </c>
      <c r="I10" s="94"/>
      <c r="J10" s="88" t="s">
        <v>1367</v>
      </c>
      <c r="K10" s="90" t="str">
        <f>CONCATENATE(SUBSTITUTE(Spotify!J10,",",";"),";",J10)</f>
        <v>soft pop;love;slow</v>
      </c>
      <c r="L10" s="86"/>
      <c r="M10" s="54" t="str">
        <f>Spotify!B10</f>
        <v>a thousand years</v>
      </c>
      <c r="N10" s="92" t="str">
        <f>Spotify!D10</f>
        <v>Christina Perri</v>
      </c>
      <c r="O10" s="92">
        <f>Spotify!E10</f>
        <v>40834</v>
      </c>
      <c r="P10" s="54">
        <f>ROUND(Spotify!U10,0)</f>
        <v>139</v>
      </c>
      <c r="Q10" s="54">
        <f>ROUND(Spotify!L10*100,0)</f>
        <v>41</v>
      </c>
      <c r="R10" s="54">
        <f>ROUND(Spotify!K10*100,0)</f>
        <v>42</v>
      </c>
      <c r="S10" s="54">
        <f>Spotify!N10</f>
        <v>-7.4450000000000003</v>
      </c>
      <c r="T10" s="54">
        <f>ROUND(Spotify!T10*100,0)</f>
        <v>16</v>
      </c>
      <c r="U10" s="54">
        <f>ROUND(Spotify!F10/60000,1)</f>
        <v>4.8</v>
      </c>
      <c r="V10" s="54">
        <f>ROUND(Spotify!Q10*100,0)</f>
        <v>31</v>
      </c>
      <c r="W10" s="54">
        <f>Spotify!G10</f>
        <v>86</v>
      </c>
    </row>
    <row r="11" spans="1:23" ht="15" x14ac:dyDescent="0.3">
      <c r="A11" s="87">
        <f t="shared" ca="1" si="0"/>
        <v>0.72631844894636433</v>
      </c>
      <c r="B11" s="93"/>
      <c r="C11" s="94" t="s">
        <v>26</v>
      </c>
      <c r="D11" s="95" t="s">
        <v>27</v>
      </c>
      <c r="E11" s="94" t="s">
        <v>28</v>
      </c>
      <c r="F11" s="94"/>
      <c r="G11" s="96">
        <v>2015</v>
      </c>
      <c r="H11" s="94" t="s">
        <v>13</v>
      </c>
      <c r="I11" s="94" t="s">
        <v>29</v>
      </c>
      <c r="J11" s="88" t="s">
        <v>1369</v>
      </c>
      <c r="K11" s="90" t="str">
        <f>CONCATENATE(SUBSTITUTE(Spotify!J11,",",";"),";",J11)</f>
        <v>;dance;alternative</v>
      </c>
      <c r="L11" s="86"/>
      <c r="M11" s="54" t="str">
        <f>Spotify!B11</f>
        <v>Adventure of a Lifetime</v>
      </c>
      <c r="N11" s="92" t="str">
        <f>Spotify!D11</f>
        <v>Coldplay</v>
      </c>
      <c r="O11" s="92">
        <f>Spotify!E11</f>
        <v>42342</v>
      </c>
      <c r="P11" s="54">
        <f>ROUND(Spotify!U11,0)</f>
        <v>112</v>
      </c>
      <c r="Q11" s="54">
        <f>ROUND(Spotify!L11*100,0)</f>
        <v>92</v>
      </c>
      <c r="R11" s="54">
        <f>ROUND(Spotify!K11*100,0)</f>
        <v>64</v>
      </c>
      <c r="S11" s="54">
        <f>Spotify!N11</f>
        <v>-3.887</v>
      </c>
      <c r="T11" s="54">
        <f>ROUND(Spotify!T11*100,0)</f>
        <v>53</v>
      </c>
      <c r="U11" s="54">
        <f>ROUND(Spotify!F11/60000,1)</f>
        <v>4.4000000000000004</v>
      </c>
      <c r="V11" s="54">
        <f>ROUND(Spotify!Q11*100,0)</f>
        <v>0</v>
      </c>
      <c r="W11" s="54">
        <f>Spotify!G11</f>
        <v>88</v>
      </c>
    </row>
    <row r="12" spans="1:23" ht="15" x14ac:dyDescent="0.3">
      <c r="A12" s="87">
        <f t="shared" ca="1" si="0"/>
        <v>3.7770120353393777E-2</v>
      </c>
      <c r="B12" s="99"/>
      <c r="C12" s="97" t="s">
        <v>30</v>
      </c>
      <c r="D12" s="89" t="s">
        <v>31</v>
      </c>
      <c r="E12" s="97" t="s">
        <v>32</v>
      </c>
      <c r="F12" s="97"/>
      <c r="G12" s="96">
        <v>1982</v>
      </c>
      <c r="H12" s="97" t="s">
        <v>12</v>
      </c>
      <c r="I12" s="97" t="s">
        <v>33</v>
      </c>
      <c r="J12" s="90" t="s">
        <v>1372</v>
      </c>
      <c r="K12" s="90" t="str">
        <f>CONCATENATE(SUBSTITUTE(Spotify!J12,",",";"),";",J12)</f>
        <v>yacht rock;soft rock;retro;oldies</v>
      </c>
      <c r="L12" s="86"/>
      <c r="M12" s="54" t="str">
        <f>Spotify!B12</f>
        <v>Africa</v>
      </c>
      <c r="N12" s="92" t="str">
        <f>Spotify!D12</f>
        <v>TOTO</v>
      </c>
      <c r="O12" s="92">
        <f>Spotify!E12</f>
        <v>30049</v>
      </c>
      <c r="P12" s="54">
        <f>ROUND(Spotify!U12,0)</f>
        <v>93</v>
      </c>
      <c r="Q12" s="54">
        <f>ROUND(Spotify!L12*100,0)</f>
        <v>37</v>
      </c>
      <c r="R12" s="54">
        <f>ROUND(Spotify!K12*100,0)</f>
        <v>67</v>
      </c>
      <c r="S12" s="54">
        <f>Spotify!N12</f>
        <v>-18.064</v>
      </c>
      <c r="T12" s="54">
        <f>ROUND(Spotify!T12*100,0)</f>
        <v>73</v>
      </c>
      <c r="U12" s="54">
        <f>ROUND(Spotify!F12/60000,1)</f>
        <v>4.9000000000000004</v>
      </c>
      <c r="V12" s="54">
        <f>ROUND(Spotify!Q12*100,0)</f>
        <v>26</v>
      </c>
      <c r="W12" s="54">
        <f>Spotify!G12</f>
        <v>90</v>
      </c>
    </row>
    <row r="13" spans="1:23" ht="15" x14ac:dyDescent="0.3">
      <c r="A13" s="87">
        <f t="shared" ca="1" si="0"/>
        <v>0.90859039204064107</v>
      </c>
      <c r="B13" s="99" t="s">
        <v>1</v>
      </c>
      <c r="C13" s="97" t="s">
        <v>21</v>
      </c>
      <c r="D13" s="89" t="s">
        <v>576</v>
      </c>
      <c r="E13" s="97" t="s">
        <v>577</v>
      </c>
      <c r="F13" s="97"/>
      <c r="G13" s="96">
        <v>1966</v>
      </c>
      <c r="H13" s="97" t="s">
        <v>12</v>
      </c>
      <c r="I13" s="97"/>
      <c r="J13" s="90" t="s">
        <v>1516</v>
      </c>
      <c r="K13" s="90" t="str">
        <f>CONCATENATE(SUBSTITUTE(Spotify!J13,",",";"),";",J13)</f>
        <v>blues;roots rock;blues rock;acoustic;groovy;oldies;retro</v>
      </c>
      <c r="L13" s="86"/>
      <c r="M13" s="54" t="str">
        <f>Spotify!B13</f>
        <v>After Midnight</v>
      </c>
      <c r="N13" s="92" t="str">
        <f>Spotify!D13</f>
        <v>J.J. Cale</v>
      </c>
      <c r="O13" s="92">
        <f>Spotify!E13</f>
        <v>1972</v>
      </c>
      <c r="P13" s="54">
        <f>ROUND(Spotify!U13,0)</f>
        <v>96</v>
      </c>
      <c r="Q13" s="54">
        <f>ROUND(Spotify!L13*100,0)</f>
        <v>31</v>
      </c>
      <c r="R13" s="54">
        <f>ROUND(Spotify!K13*100,0)</f>
        <v>69</v>
      </c>
      <c r="S13" s="54">
        <f>Spotify!N13</f>
        <v>-19.315000000000001</v>
      </c>
      <c r="T13" s="54">
        <f>ROUND(Spotify!T13*100,0)</f>
        <v>52</v>
      </c>
      <c r="U13" s="54">
        <f>ROUND(Spotify!F13/60000,1)</f>
        <v>2.4</v>
      </c>
      <c r="V13" s="54">
        <f>ROUND(Spotify!Q13*100,0)</f>
        <v>17</v>
      </c>
      <c r="W13" s="54">
        <f>Spotify!G13</f>
        <v>62</v>
      </c>
    </row>
    <row r="14" spans="1:23" ht="15" x14ac:dyDescent="0.3">
      <c r="A14" s="87"/>
      <c r="B14" s="99" t="s">
        <v>1</v>
      </c>
      <c r="C14" s="97"/>
      <c r="D14" s="89" t="s">
        <v>1657</v>
      </c>
      <c r="E14" s="97" t="s">
        <v>1659</v>
      </c>
      <c r="F14" s="97"/>
      <c r="G14" s="96">
        <v>2002</v>
      </c>
      <c r="H14" s="97" t="s">
        <v>69</v>
      </c>
      <c r="I14" s="97" t="s">
        <v>1766</v>
      </c>
      <c r="J14" s="90"/>
      <c r="K14" s="90" t="str">
        <f>CONCATENATE(SUBSTITUTE(Spotify!J14,",",";"),";",J14)</f>
        <v>dansk pop;</v>
      </c>
      <c r="L14" s="86"/>
      <c r="M14" s="54" t="str">
        <f>Spotify!B14</f>
        <v>Aicha</v>
      </c>
      <c r="N14" s="92" t="str">
        <f>Spotify!D14</f>
        <v>Outlandish</v>
      </c>
      <c r="O14" s="92">
        <f>Spotify!E14</f>
        <v>37712</v>
      </c>
      <c r="P14" s="54">
        <f>ROUND(Spotify!U14,0)</f>
        <v>87</v>
      </c>
      <c r="Q14" s="54">
        <f>ROUND(Spotify!L14*100,0)</f>
        <v>64</v>
      </c>
      <c r="R14" s="54">
        <f>ROUND(Spotify!K14*100,0)</f>
        <v>75</v>
      </c>
      <c r="S14" s="54">
        <f>Spotify!N14</f>
        <v>-5.4939999999999998</v>
      </c>
      <c r="T14" s="54">
        <f>ROUND(Spotify!T14*100,0)</f>
        <v>61</v>
      </c>
      <c r="U14" s="54">
        <f>ROUND(Spotify!F14/60000,1)</f>
        <v>4.5999999999999996</v>
      </c>
      <c r="V14" s="54">
        <f>ROUND(Spotify!Q14*100,0)</f>
        <v>21</v>
      </c>
      <c r="W14" s="54">
        <f>Spotify!G14</f>
        <v>58</v>
      </c>
    </row>
    <row r="15" spans="1:23" ht="15" x14ac:dyDescent="0.3">
      <c r="A15" s="87">
        <f t="shared" ref="A15:A21" ca="1" si="1">RAND()</f>
        <v>0.19557299281983953</v>
      </c>
      <c r="B15" s="93"/>
      <c r="C15" s="94"/>
      <c r="D15" s="100" t="s">
        <v>549</v>
      </c>
      <c r="E15" s="94" t="s">
        <v>84</v>
      </c>
      <c r="F15" s="94"/>
      <c r="G15" s="96">
        <v>2014</v>
      </c>
      <c r="H15" s="94" t="s">
        <v>346</v>
      </c>
      <c r="I15" s="94"/>
      <c r="J15" s="88" t="s">
        <v>1373</v>
      </c>
      <c r="K15" s="90" t="str">
        <f>CONCATENATE(SUBSTITUTE(Spotify!J15,",",";"),";",J15)</f>
        <v>;dance;jive;groovy</v>
      </c>
      <c r="L15" s="86"/>
      <c r="M15" s="54" t="str">
        <f>Spotify!B15</f>
        <v>All About That Bass</v>
      </c>
      <c r="N15" s="92" t="str">
        <f>Spotify!D15</f>
        <v>Meghan Trainor</v>
      </c>
      <c r="O15" s="92">
        <f>Spotify!E15</f>
        <v>42016</v>
      </c>
      <c r="P15" s="54">
        <f>ROUND(Spotify!U15,0)</f>
        <v>134</v>
      </c>
      <c r="Q15" s="54">
        <f>ROUND(Spotify!L15*100,0)</f>
        <v>89</v>
      </c>
      <c r="R15" s="54">
        <f>ROUND(Spotify!K15*100,0)</f>
        <v>81</v>
      </c>
      <c r="S15" s="54">
        <f>Spotify!N15</f>
        <v>-3.726</v>
      </c>
      <c r="T15" s="54">
        <f>ROUND(Spotify!T15*100,0)</f>
        <v>96</v>
      </c>
      <c r="U15" s="54">
        <f>ROUND(Spotify!F15/60000,1)</f>
        <v>3.2</v>
      </c>
      <c r="V15" s="54">
        <f>ROUND(Spotify!Q15*100,0)</f>
        <v>6</v>
      </c>
      <c r="W15" s="54">
        <f>Spotify!G15</f>
        <v>71</v>
      </c>
    </row>
    <row r="16" spans="1:23" ht="15" x14ac:dyDescent="0.3">
      <c r="A16" s="87">
        <f t="shared" ca="1" si="1"/>
        <v>0.63895594973427938</v>
      </c>
      <c r="B16" s="93" t="s">
        <v>1</v>
      </c>
      <c r="C16" s="94" t="s">
        <v>34</v>
      </c>
      <c r="D16" s="95" t="s">
        <v>35</v>
      </c>
      <c r="E16" s="94" t="s">
        <v>36</v>
      </c>
      <c r="F16" s="94"/>
      <c r="G16" s="96">
        <v>2005</v>
      </c>
      <c r="H16" s="94" t="s">
        <v>12</v>
      </c>
      <c r="I16" s="94" t="s">
        <v>13</v>
      </c>
      <c r="J16" s="88" t="s">
        <v>1366</v>
      </c>
      <c r="K16" s="90" t="str">
        <f>CONCATENATE(SUBSTITUTE(Spotify!J16,",",";"),";",J16)</f>
        <v>;love;pop</v>
      </c>
      <c r="L16" s="86"/>
      <c r="M16" s="54" t="str">
        <f>Spotify!B16</f>
        <v>All About You</v>
      </c>
      <c r="N16" s="92" t="str">
        <f>Spotify!D16</f>
        <v>McFly</v>
      </c>
      <c r="O16" s="92">
        <f>Spotify!E16</f>
        <v>38353</v>
      </c>
      <c r="P16" s="54">
        <f>ROUND(Spotify!U16,0)</f>
        <v>130</v>
      </c>
      <c r="Q16" s="54">
        <f>ROUND(Spotify!L16*100,0)</f>
        <v>56</v>
      </c>
      <c r="R16" s="54">
        <f>ROUND(Spotify!K16*100,0)</f>
        <v>54</v>
      </c>
      <c r="S16" s="54">
        <f>Spotify!N16</f>
        <v>-5.3129999999999997</v>
      </c>
      <c r="T16" s="54">
        <f>ROUND(Spotify!T16*100,0)</f>
        <v>30</v>
      </c>
      <c r="U16" s="54">
        <f>ROUND(Spotify!F16/60000,1)</f>
        <v>3.1</v>
      </c>
      <c r="V16" s="54">
        <f>ROUND(Spotify!Q16*100,0)</f>
        <v>20</v>
      </c>
      <c r="W16" s="54">
        <f>Spotify!G16</f>
        <v>59</v>
      </c>
    </row>
    <row r="17" spans="1:23" ht="15" x14ac:dyDescent="0.3">
      <c r="A17" s="87">
        <f t="shared" ca="1" si="1"/>
        <v>0.1788460060845467</v>
      </c>
      <c r="B17" s="93"/>
      <c r="C17" s="94" t="s">
        <v>37</v>
      </c>
      <c r="D17" s="95" t="s">
        <v>38</v>
      </c>
      <c r="E17" s="94" t="s">
        <v>39</v>
      </c>
      <c r="F17" s="94"/>
      <c r="G17" s="96">
        <v>1958</v>
      </c>
      <c r="H17" s="94" t="s">
        <v>40</v>
      </c>
      <c r="I17" s="94"/>
      <c r="J17" s="88" t="s">
        <v>1539</v>
      </c>
      <c r="K17" s="90" t="str">
        <f>CONCATENATE(SUBSTITUTE(Spotify!J17,",",";"),";",J17)</f>
        <v>doo-wop;love;slow;oldies;retro;sweet</v>
      </c>
      <c r="L17" s="86"/>
      <c r="M17" s="54" t="str">
        <f>Spotify!B17</f>
        <v>All I Have to Do Is Dream</v>
      </c>
      <c r="N17" s="92" t="str">
        <f>Spotify!D17</f>
        <v>The Everly Brothers</v>
      </c>
      <c r="O17" s="92">
        <f>Spotify!E17</f>
        <v>23590</v>
      </c>
      <c r="P17" s="54">
        <f>ROUND(Spotify!U17,0)</f>
        <v>96</v>
      </c>
      <c r="Q17" s="54">
        <f>ROUND(Spotify!L17*100,0)</f>
        <v>46</v>
      </c>
      <c r="R17" s="54">
        <f>ROUND(Spotify!K17*100,0)</f>
        <v>53</v>
      </c>
      <c r="S17" s="54">
        <f>Spotify!N17</f>
        <v>-8.1720000000000006</v>
      </c>
      <c r="T17" s="54">
        <f>ROUND(Spotify!T17*100,0)</f>
        <v>53</v>
      </c>
      <c r="U17" s="54">
        <f>ROUND(Spotify!F17/60000,1)</f>
        <v>2.4</v>
      </c>
      <c r="V17" s="54">
        <f>ROUND(Spotify!Q17*100,0)</f>
        <v>84</v>
      </c>
      <c r="W17" s="54">
        <f>Spotify!G17</f>
        <v>70</v>
      </c>
    </row>
    <row r="18" spans="1:23" s="53" customFormat="1" ht="15" x14ac:dyDescent="0.3">
      <c r="A18" s="87">
        <f t="shared" ca="1" si="1"/>
        <v>0.22293151311444326</v>
      </c>
      <c r="B18" s="93"/>
      <c r="C18" s="94" t="s">
        <v>14</v>
      </c>
      <c r="D18" s="95" t="s">
        <v>44</v>
      </c>
      <c r="E18" s="94" t="s">
        <v>45</v>
      </c>
      <c r="F18" s="94"/>
      <c r="G18" s="96">
        <v>1999</v>
      </c>
      <c r="H18" s="94" t="s">
        <v>12</v>
      </c>
      <c r="I18" s="94" t="s">
        <v>29</v>
      </c>
      <c r="J18" s="88" t="s">
        <v>1371</v>
      </c>
      <c r="K18" s="90" t="str">
        <f>CONCATENATE(SUBSTITUTE(Spotify!J18,",",";"),";",J18)</f>
        <v>;alternative</v>
      </c>
      <c r="L18" s="86"/>
      <c r="M18" s="54" t="str">
        <f>Spotify!B18</f>
        <v>All Star</v>
      </c>
      <c r="N18" s="92" t="str">
        <f>Spotify!D18</f>
        <v>Smash Mouth</v>
      </c>
      <c r="O18" s="92">
        <f>Spotify!E18</f>
        <v>36319</v>
      </c>
      <c r="P18" s="54">
        <f>ROUND(Spotify!U18,0)</f>
        <v>104</v>
      </c>
      <c r="Q18" s="54">
        <f>ROUND(Spotify!L18*100,0)</f>
        <v>87</v>
      </c>
      <c r="R18" s="54">
        <f>ROUND(Spotify!K18*100,0)</f>
        <v>73</v>
      </c>
      <c r="S18" s="54">
        <f>Spotify!N18</f>
        <v>-5.8810000000000002</v>
      </c>
      <c r="T18" s="54">
        <f>ROUND(Spotify!T18*100,0)</f>
        <v>78</v>
      </c>
      <c r="U18" s="54">
        <f>ROUND(Spotify!F18/60000,1)</f>
        <v>3.3</v>
      </c>
      <c r="V18" s="54">
        <f>ROUND(Spotify!Q18*100,0)</f>
        <v>4</v>
      </c>
      <c r="W18" s="54">
        <f>Spotify!G18</f>
        <v>82</v>
      </c>
    </row>
    <row r="19" spans="1:23" s="53" customFormat="1" ht="15" x14ac:dyDescent="0.3">
      <c r="A19" s="87">
        <f t="shared" ca="1" si="1"/>
        <v>2.1019655291284467E-3</v>
      </c>
      <c r="B19" s="93" t="s">
        <v>1</v>
      </c>
      <c r="C19" s="94" t="s">
        <v>46</v>
      </c>
      <c r="D19" s="95" t="s">
        <v>47</v>
      </c>
      <c r="E19" s="94" t="s">
        <v>48</v>
      </c>
      <c r="F19" s="101"/>
      <c r="G19" s="96">
        <v>1981</v>
      </c>
      <c r="H19" s="94" t="s">
        <v>49</v>
      </c>
      <c r="I19" s="94"/>
      <c r="J19" s="88" t="s">
        <v>1402</v>
      </c>
      <c r="K19" s="90" t="str">
        <f>CONCATENATE(SUBSTITUTE(Spotify!J19,",",";"),";",J19)</f>
        <v>;love;slow;oldies;retro</v>
      </c>
      <c r="L19" s="86"/>
      <c r="M19" s="54" t="str">
        <f>Spotify!B19</f>
        <v>Angel Of The Morning</v>
      </c>
      <c r="N19" s="92" t="str">
        <f>Spotify!D19</f>
        <v>Juice Newton</v>
      </c>
      <c r="O19" s="92">
        <f>Spotify!E19</f>
        <v>29587</v>
      </c>
      <c r="P19" s="54">
        <f>ROUND(Spotify!U19,0)</f>
        <v>76</v>
      </c>
      <c r="Q19" s="54">
        <f>ROUND(Spotify!L19*100,0)</f>
        <v>31</v>
      </c>
      <c r="R19" s="54">
        <f>ROUND(Spotify!K19*100,0)</f>
        <v>45</v>
      </c>
      <c r="S19" s="54">
        <f>Spotify!N19</f>
        <v>-9.3089999999999993</v>
      </c>
      <c r="T19" s="54">
        <f>ROUND(Spotify!T19*100,0)</f>
        <v>34</v>
      </c>
      <c r="U19" s="54">
        <f>ROUND(Spotify!F19/60000,1)</f>
        <v>4.2</v>
      </c>
      <c r="V19" s="54">
        <f>ROUND(Spotify!Q19*100,0)</f>
        <v>43</v>
      </c>
      <c r="W19" s="54">
        <f>Spotify!G19</f>
        <v>68</v>
      </c>
    </row>
    <row r="20" spans="1:23" s="53" customFormat="1" ht="15" x14ac:dyDescent="0.3">
      <c r="A20" s="87">
        <f t="shared" ca="1" si="1"/>
        <v>0.50212663357608012</v>
      </c>
      <c r="B20" s="93"/>
      <c r="C20" s="94"/>
      <c r="D20" s="95" t="s">
        <v>50</v>
      </c>
      <c r="E20" s="94" t="s">
        <v>19</v>
      </c>
      <c r="F20" s="94"/>
      <c r="G20" s="96">
        <v>1997</v>
      </c>
      <c r="H20" s="94" t="s">
        <v>12</v>
      </c>
      <c r="I20" s="94" t="s">
        <v>51</v>
      </c>
      <c r="J20" s="88" t="s">
        <v>1367</v>
      </c>
      <c r="K20" s="90" t="str">
        <f>CONCATENATE(SUBSTITUTE(Spotify!J20,",",";"),";",J20)</f>
        <v>;love;slow</v>
      </c>
      <c r="L20" s="86"/>
      <c r="M20" s="54" t="str">
        <f>Spotify!B20</f>
        <v>Angels</v>
      </c>
      <c r="N20" s="92" t="str">
        <f>Spotify!D20</f>
        <v>Robbie Williams</v>
      </c>
      <c r="O20" s="92">
        <f>Spotify!E20</f>
        <v>35431</v>
      </c>
      <c r="P20" s="54">
        <f>ROUND(Spotify!U20,0)</f>
        <v>150</v>
      </c>
      <c r="Q20" s="54">
        <f>ROUND(Spotify!L20*100,0)</f>
        <v>59</v>
      </c>
      <c r="R20" s="54">
        <f>ROUND(Spotify!K20*100,0)</f>
        <v>43</v>
      </c>
      <c r="S20" s="54">
        <f>Spotify!N20</f>
        <v>-6.3620000000000001</v>
      </c>
      <c r="T20" s="54">
        <f>ROUND(Spotify!T20*100,0)</f>
        <v>26</v>
      </c>
      <c r="U20" s="54">
        <f>ROUND(Spotify!F20/60000,1)</f>
        <v>4.4000000000000004</v>
      </c>
      <c r="V20" s="54">
        <f>ROUND(Spotify!Q20*100,0)</f>
        <v>16</v>
      </c>
      <c r="W20" s="54">
        <f>Spotify!G20</f>
        <v>65</v>
      </c>
    </row>
    <row r="21" spans="1:23" ht="15" x14ac:dyDescent="0.3">
      <c r="A21" s="87">
        <f t="shared" ca="1" si="1"/>
        <v>0.13420441509695924</v>
      </c>
      <c r="B21" s="93"/>
      <c r="C21" s="94" t="s">
        <v>46</v>
      </c>
      <c r="D21" s="95" t="s">
        <v>52</v>
      </c>
      <c r="E21" s="94" t="s">
        <v>53</v>
      </c>
      <c r="F21" s="94"/>
      <c r="G21" s="96">
        <v>1974</v>
      </c>
      <c r="H21" s="94" t="s">
        <v>12</v>
      </c>
      <c r="I21" s="94" t="s">
        <v>54</v>
      </c>
      <c r="J21" s="88" t="s">
        <v>1518</v>
      </c>
      <c r="K21" s="90" t="str">
        <f>CONCATENATE(SUBSTITUTE(Spotify!J21,",",";"),";",J21)</f>
        <v>folk;love;slow;oldies;retro;waltz</v>
      </c>
      <c r="L21" s="86"/>
      <c r="M21" s="54" t="str">
        <f>Spotify!B21</f>
        <v>Annie's Song</v>
      </c>
      <c r="N21" s="92" t="str">
        <f>Spotify!D21</f>
        <v>John Denver</v>
      </c>
      <c r="O21" s="92">
        <f>Spotify!E21</f>
        <v>27195</v>
      </c>
      <c r="P21" s="54">
        <f>ROUND(Spotify!U21,0)</f>
        <v>146</v>
      </c>
      <c r="Q21" s="54">
        <f>ROUND(Spotify!L21*100,0)</f>
        <v>31</v>
      </c>
      <c r="R21" s="54">
        <f>ROUND(Spotify!K21*100,0)</f>
        <v>30</v>
      </c>
      <c r="S21" s="54">
        <f>Spotify!N21</f>
        <v>-10.879</v>
      </c>
      <c r="T21" s="54">
        <f>ROUND(Spotify!T21*100,0)</f>
        <v>46</v>
      </c>
      <c r="U21" s="54">
        <f>ROUND(Spotify!F21/60000,1)</f>
        <v>3</v>
      </c>
      <c r="V21" s="54">
        <f>ROUND(Spotify!Q21*100,0)</f>
        <v>87</v>
      </c>
      <c r="W21" s="54">
        <f>Spotify!G21</f>
        <v>71</v>
      </c>
    </row>
    <row r="22" spans="1:23" ht="15" x14ac:dyDescent="0.3">
      <c r="A22" s="87"/>
      <c r="B22" s="93"/>
      <c r="C22" s="94"/>
      <c r="D22" s="95" t="s">
        <v>1598</v>
      </c>
      <c r="E22" s="94" t="s">
        <v>1599</v>
      </c>
      <c r="F22" s="94"/>
      <c r="G22" s="96">
        <v>1989</v>
      </c>
      <c r="H22" s="94" t="s">
        <v>12</v>
      </c>
      <c r="I22" s="94" t="s">
        <v>261</v>
      </c>
      <c r="J22" s="88" t="s">
        <v>1389</v>
      </c>
      <c r="K22" s="90" t="str">
        <f>CONCATENATE(SUBSTITUTE(Spotify!J22,",",";"),";",J22)</f>
        <v>soft rock;alternative;groovy</v>
      </c>
      <c r="L22" s="86"/>
      <c r="M22" s="54" t="str">
        <f>Spotify!B22</f>
        <v>Another Day in Paradise - 2016 Remaster</v>
      </c>
      <c r="N22" s="92" t="str">
        <f>Spotify!D22</f>
        <v>Phil Collins</v>
      </c>
      <c r="O22" s="92">
        <f>Spotify!E22</f>
        <v>32832</v>
      </c>
      <c r="P22" s="54">
        <f>ROUND(Spotify!U22,0)</f>
        <v>102</v>
      </c>
      <c r="Q22" s="54">
        <f>ROUND(Spotify!L22*100,0)</f>
        <v>57</v>
      </c>
      <c r="R22" s="54">
        <f>ROUND(Spotify!K22*100,0)</f>
        <v>78</v>
      </c>
      <c r="S22" s="54">
        <f>Spotify!N22</f>
        <v>-7.32</v>
      </c>
      <c r="T22" s="54">
        <f>ROUND(Spotify!T22*100,0)</f>
        <v>37</v>
      </c>
      <c r="U22" s="54">
        <f>ROUND(Spotify!F22/60000,1)</f>
        <v>5.4</v>
      </c>
      <c r="V22" s="54">
        <f>ROUND(Spotify!Q22*100,0)</f>
        <v>74</v>
      </c>
      <c r="W22" s="54">
        <f>Spotify!G22</f>
        <v>84</v>
      </c>
    </row>
    <row r="23" spans="1:23" s="53" customFormat="1" ht="15" x14ac:dyDescent="0.3">
      <c r="A23" s="87"/>
      <c r="B23" s="93" t="s">
        <v>1</v>
      </c>
      <c r="C23" s="94" t="s">
        <v>14</v>
      </c>
      <c r="D23" s="95" t="s">
        <v>1780</v>
      </c>
      <c r="E23" s="94" t="s">
        <v>1779</v>
      </c>
      <c r="F23" s="94"/>
      <c r="G23" s="96">
        <v>2011</v>
      </c>
      <c r="H23" s="94" t="s">
        <v>59</v>
      </c>
      <c r="I23" s="94" t="s">
        <v>60</v>
      </c>
      <c r="J23" s="88"/>
      <c r="K23" s="90" t="str">
        <f>CONCATENATE(SUBSTITUTE(Spotify!J23,",",";"),";",J23)</f>
        <v>vocal jazz;smooth jazz;jazz pop;</v>
      </c>
      <c r="L23" s="86"/>
      <c r="M23" s="54" t="str">
        <f>Spotify!B23</f>
        <v>Answer Me, My Love</v>
      </c>
      <c r="N23" s="92" t="str">
        <f>Spotify!D23</f>
        <v>Inger Marie Gundersen</v>
      </c>
      <c r="O23" s="92">
        <f>Spotify!E23</f>
        <v>40847</v>
      </c>
      <c r="P23" s="54">
        <f>ROUND(Spotify!U23,0)</f>
        <v>89</v>
      </c>
      <c r="Q23" s="54">
        <f>ROUND(Spotify!L23*100,0)</f>
        <v>8</v>
      </c>
      <c r="R23" s="54">
        <f>ROUND(Spotify!K23*100,0)</f>
        <v>63</v>
      </c>
      <c r="S23" s="54">
        <f>Spotify!N23</f>
        <v>-27.516999999999999</v>
      </c>
      <c r="T23" s="54">
        <f>ROUND(Spotify!T23*100,0)</f>
        <v>37</v>
      </c>
      <c r="U23" s="54">
        <f>ROUND(Spotify!F23/60000,1)</f>
        <v>3.8</v>
      </c>
      <c r="V23" s="54">
        <f>ROUND(Spotify!Q23*100,0)</f>
        <v>77</v>
      </c>
      <c r="W23" s="54">
        <f>Spotify!G23</f>
        <v>18</v>
      </c>
    </row>
    <row r="24" spans="1:23" s="53" customFormat="1" ht="15" x14ac:dyDescent="0.3">
      <c r="A24" s="87">
        <f t="shared" ref="A24:A31" ca="1" si="2">RAND()</f>
        <v>0.69948314808475742</v>
      </c>
      <c r="B24" s="93" t="s">
        <v>1</v>
      </c>
      <c r="C24" s="94" t="s">
        <v>55</v>
      </c>
      <c r="D24" s="95" t="s">
        <v>56</v>
      </c>
      <c r="E24" s="94" t="s">
        <v>666</v>
      </c>
      <c r="F24" s="94" t="s">
        <v>57</v>
      </c>
      <c r="G24" s="96">
        <v>1977</v>
      </c>
      <c r="H24" s="94" t="s">
        <v>59</v>
      </c>
      <c r="I24" s="94" t="s">
        <v>60</v>
      </c>
      <c r="J24" s="88" t="s">
        <v>1440</v>
      </c>
      <c r="K24" s="90" t="str">
        <f>CONCATENATE(SUBSTITUTE(Spotify!J24,",",";"),";",J24)</f>
        <v>smooth jazz;jazz;groovy;jazz;slow;oldies;retro</v>
      </c>
      <c r="L24" s="86"/>
      <c r="M24" s="54" t="str">
        <f>Spotify!B24</f>
        <v>Antonio's Song</v>
      </c>
      <c r="N24" s="92" t="str">
        <f>Spotify!D24</f>
        <v>Till Brönner</v>
      </c>
      <c r="O24" s="92">
        <f>Spotify!E24</f>
        <v>38145</v>
      </c>
      <c r="P24" s="54">
        <f>ROUND(Spotify!U24,0)</f>
        <v>114</v>
      </c>
      <c r="Q24" s="54">
        <f>ROUND(Spotify!L24*100,0)</f>
        <v>39</v>
      </c>
      <c r="R24" s="54">
        <f>ROUND(Spotify!K24*100,0)</f>
        <v>68</v>
      </c>
      <c r="S24" s="54">
        <f>Spotify!N24</f>
        <v>-14.082000000000001</v>
      </c>
      <c r="T24" s="54">
        <f>ROUND(Spotify!T24*100,0)</f>
        <v>65</v>
      </c>
      <c r="U24" s="54">
        <f>ROUND(Spotify!F24/60000,1)</f>
        <v>5</v>
      </c>
      <c r="V24" s="54">
        <f>ROUND(Spotify!Q24*100,0)</f>
        <v>46</v>
      </c>
      <c r="W24" s="54">
        <f>Spotify!G24</f>
        <v>27</v>
      </c>
    </row>
    <row r="25" spans="1:23" s="53" customFormat="1" ht="15" x14ac:dyDescent="0.3">
      <c r="A25" s="87">
        <f t="shared" ca="1" si="2"/>
        <v>0.4248017394310617</v>
      </c>
      <c r="B25" s="93" t="s">
        <v>1</v>
      </c>
      <c r="C25" s="94"/>
      <c r="D25" s="95" t="s">
        <v>67</v>
      </c>
      <c r="E25" s="94" t="s">
        <v>68</v>
      </c>
      <c r="F25" s="94"/>
      <c r="G25" s="96">
        <v>2008</v>
      </c>
      <c r="H25" s="94" t="s">
        <v>13</v>
      </c>
      <c r="I25" s="94" t="s">
        <v>69</v>
      </c>
      <c r="J25" s="88" t="s">
        <v>1375</v>
      </c>
      <c r="K25" s="90" t="str">
        <f>CONCATENATE(SUBSTITUTE(Spotify!J28,",",";"),";",J25)</f>
        <v>;love;groovy</v>
      </c>
      <c r="L25" s="86"/>
      <c r="M25" s="54" t="str">
        <f>Spotify!B28</f>
        <v>Believer</v>
      </c>
      <c r="N25" s="92" t="str">
        <f>Spotify!D28</f>
        <v>Imagine Dragons</v>
      </c>
      <c r="O25" s="92">
        <f>Spotify!E28</f>
        <v>42909</v>
      </c>
      <c r="P25" s="54">
        <f>ROUND(Spotify!U28,0)</f>
        <v>125</v>
      </c>
      <c r="Q25" s="54">
        <f>ROUND(Spotify!L28*100,0)</f>
        <v>78</v>
      </c>
      <c r="R25" s="54">
        <f>ROUND(Spotify!K28*100,0)</f>
        <v>78</v>
      </c>
      <c r="S25" s="54">
        <f>Spotify!N28</f>
        <v>-4.3739999999999997</v>
      </c>
      <c r="T25" s="54">
        <f>ROUND(Spotify!T28*100,0)</f>
        <v>67</v>
      </c>
      <c r="U25" s="54">
        <f>ROUND(Spotify!F28/60000,1)</f>
        <v>3.4</v>
      </c>
      <c r="V25" s="54">
        <f>ROUND(Spotify!Q28*100,0)</f>
        <v>6</v>
      </c>
      <c r="W25" s="54">
        <f>Spotify!G28</f>
        <v>88</v>
      </c>
    </row>
    <row r="26" spans="1:23" s="53" customFormat="1" ht="15" x14ac:dyDescent="0.3">
      <c r="A26" s="87">
        <f t="shared" ca="1" si="2"/>
        <v>0.26934975485864288</v>
      </c>
      <c r="B26" s="93" t="s">
        <v>1</v>
      </c>
      <c r="C26" s="94" t="s">
        <v>71</v>
      </c>
      <c r="D26" s="95" t="s">
        <v>72</v>
      </c>
      <c r="E26" s="94" t="s">
        <v>73</v>
      </c>
      <c r="F26" s="94"/>
      <c r="G26" s="96">
        <v>1998</v>
      </c>
      <c r="H26" s="94" t="s">
        <v>13</v>
      </c>
      <c r="I26" s="94"/>
      <c r="J26" s="88" t="s">
        <v>1379</v>
      </c>
      <c r="K26" s="90" t="str">
        <f>CONCATENATE(SUBSTITUTE(Spotify!J29,",",";"),";",J26)</f>
        <v>classical crossover;opera;love;groovy;dance</v>
      </c>
      <c r="L26" s="86"/>
      <c r="M26" s="54" t="str">
        <f>Spotify!B29</f>
        <v>Bésame Mucho</v>
      </c>
      <c r="N26" s="92" t="str">
        <f>Spotify!D29</f>
        <v>Andrea Bocelli</v>
      </c>
      <c r="O26" s="92">
        <f>Spotify!E29</f>
        <v>38718</v>
      </c>
      <c r="P26" s="54">
        <f>ROUND(Spotify!U29,0)</f>
        <v>95</v>
      </c>
      <c r="Q26" s="54">
        <f>ROUND(Spotify!L29*100,0)</f>
        <v>50</v>
      </c>
      <c r="R26" s="54">
        <f>ROUND(Spotify!K29*100,0)</f>
        <v>52</v>
      </c>
      <c r="S26" s="54">
        <f>Spotify!N29</f>
        <v>-8.5210000000000008</v>
      </c>
      <c r="T26" s="54">
        <f>ROUND(Spotify!T29*100,0)</f>
        <v>38</v>
      </c>
      <c r="U26" s="54">
        <f>ROUND(Spotify!F29/60000,1)</f>
        <v>4</v>
      </c>
      <c r="V26" s="54">
        <f>ROUND(Spotify!Q29*100,0)</f>
        <v>89</v>
      </c>
      <c r="W26" s="54">
        <f>Spotify!G29</f>
        <v>65</v>
      </c>
    </row>
    <row r="27" spans="1:23" s="53" customFormat="1" ht="15" x14ac:dyDescent="0.3">
      <c r="A27" s="87">
        <f t="shared" ca="1" si="2"/>
        <v>0.20312100788976939</v>
      </c>
      <c r="B27" s="93" t="s">
        <v>1</v>
      </c>
      <c r="C27" s="94" t="s">
        <v>10</v>
      </c>
      <c r="D27" s="95" t="s">
        <v>74</v>
      </c>
      <c r="E27" s="94" t="s">
        <v>75</v>
      </c>
      <c r="F27" s="94"/>
      <c r="G27" s="96">
        <v>2010</v>
      </c>
      <c r="H27" s="94" t="s">
        <v>76</v>
      </c>
      <c r="I27" s="94" t="s">
        <v>63</v>
      </c>
      <c r="J27" s="88" t="s">
        <v>1398</v>
      </c>
      <c r="K27" s="90" t="e">
        <f>CONCATENATE(SUBSTITUTE(Spotify!#REF!,",",";"),";",J27)</f>
        <v>#REF!</v>
      </c>
      <c r="L27" s="86"/>
      <c r="M27" s="54" t="e">
        <f>Spotify!#REF!</f>
        <v>#REF!</v>
      </c>
      <c r="N27" s="92" t="e">
        <f>Spotify!#REF!</f>
        <v>#REF!</v>
      </c>
      <c r="O27" s="92" t="e">
        <f>Spotify!#REF!</f>
        <v>#REF!</v>
      </c>
      <c r="P27" s="54" t="e">
        <f>ROUND(Spotify!#REF!,0)</f>
        <v>#REF!</v>
      </c>
      <c r="Q27" s="54" t="e">
        <f>ROUND(Spotify!#REF!*100,0)</f>
        <v>#REF!</v>
      </c>
      <c r="R27" s="54" t="e">
        <f>ROUND(Spotify!#REF!*100,0)</f>
        <v>#REF!</v>
      </c>
      <c r="S27" s="54" t="e">
        <f>Spotify!#REF!</f>
        <v>#REF!</v>
      </c>
      <c r="T27" s="54" t="e">
        <f>ROUND(Spotify!#REF!*100,0)</f>
        <v>#REF!</v>
      </c>
      <c r="U27" s="54" t="e">
        <f>ROUND(Spotify!#REF!/60000,1)</f>
        <v>#REF!</v>
      </c>
      <c r="V27" s="54" t="e">
        <f>ROUND(Spotify!#REF!*100,0)</f>
        <v>#REF!</v>
      </c>
      <c r="W27" s="54" t="e">
        <f>Spotify!#REF!</f>
        <v>#REF!</v>
      </c>
    </row>
    <row r="28" spans="1:23" s="53" customFormat="1" ht="15" x14ac:dyDescent="0.3">
      <c r="A28" s="87">
        <f t="shared" ca="1" si="2"/>
        <v>0.21230256887965582</v>
      </c>
      <c r="B28" s="93"/>
      <c r="C28" s="94" t="s">
        <v>77</v>
      </c>
      <c r="D28" s="95" t="s">
        <v>1324</v>
      </c>
      <c r="E28" s="94" t="s">
        <v>643</v>
      </c>
      <c r="F28" s="94"/>
      <c r="G28" s="96">
        <v>2017</v>
      </c>
      <c r="H28" s="94" t="s">
        <v>12</v>
      </c>
      <c r="I28" s="94" t="s">
        <v>13</v>
      </c>
      <c r="J28" s="88" t="s">
        <v>1371</v>
      </c>
      <c r="K28" s="90" t="str">
        <f>CONCATENATE(SUBSTITUTE(Spotify!J31,",",";"),";",J28)</f>
        <v>folk;folk rock;singer-songwriter;alternative</v>
      </c>
      <c r="L28" s="86"/>
      <c r="M28" s="54" t="str">
        <f>Spotify!B31</f>
        <v>Big Yellow Taxi</v>
      </c>
      <c r="N28" s="92" t="str">
        <f>Spotify!D31</f>
        <v>Joni Mitchell</v>
      </c>
      <c r="O28" s="92">
        <f>Spotify!E31</f>
        <v>43560</v>
      </c>
      <c r="P28" s="54">
        <f>ROUND(Spotify!U31,0)</f>
        <v>86</v>
      </c>
      <c r="Q28" s="54">
        <f>ROUND(Spotify!L31*100,0)</f>
        <v>47</v>
      </c>
      <c r="R28" s="54">
        <f>ROUND(Spotify!K31*100,0)</f>
        <v>61</v>
      </c>
      <c r="S28" s="54">
        <f>Spotify!N31</f>
        <v>-9.1349999999999998</v>
      </c>
      <c r="T28" s="54">
        <f>ROUND(Spotify!T31*100,0)</f>
        <v>97</v>
      </c>
      <c r="U28" s="54">
        <f>ROUND(Spotify!F31/60000,1)</f>
        <v>2.2000000000000002</v>
      </c>
      <c r="V28" s="54">
        <f>ROUND(Spotify!Q31*100,0)</f>
        <v>59</v>
      </c>
      <c r="W28" s="54">
        <f>Spotify!G31</f>
        <v>46</v>
      </c>
    </row>
    <row r="29" spans="1:23" s="53" customFormat="1" ht="15" x14ac:dyDescent="0.3">
      <c r="A29" s="87">
        <f t="shared" ca="1" si="2"/>
        <v>0.61707823087228675</v>
      </c>
      <c r="B29" s="99"/>
      <c r="C29" s="97" t="s">
        <v>77</v>
      </c>
      <c r="D29" s="89" t="s">
        <v>78</v>
      </c>
      <c r="E29" s="97" t="s">
        <v>79</v>
      </c>
      <c r="F29" s="101" t="s">
        <v>80</v>
      </c>
      <c r="G29" s="98">
        <v>1940</v>
      </c>
      <c r="H29" s="97" t="s">
        <v>81</v>
      </c>
      <c r="I29" s="97" t="s">
        <v>82</v>
      </c>
      <c r="J29" s="90" t="s">
        <v>1441</v>
      </c>
      <c r="K29" s="90" t="str">
        <f>CONCATENATE(SUBSTITUTE(Spotify!J32,",",";"),";",J29)</f>
        <v>;love;slow;jazz;bossa;oldies;retro</v>
      </c>
      <c r="L29" s="86"/>
      <c r="M29" s="54" t="str">
        <f>Spotify!B32</f>
        <v>Billie Jean</v>
      </c>
      <c r="N29" s="92" t="str">
        <f>Spotify!D32</f>
        <v>Michael Jackson</v>
      </c>
      <c r="O29" s="92">
        <f>Spotify!E32</f>
        <v>39486</v>
      </c>
      <c r="P29" s="54">
        <f>ROUND(Spotify!U32,0)</f>
        <v>117</v>
      </c>
      <c r="Q29" s="54">
        <f>ROUND(Spotify!L32*100,0)</f>
        <v>65</v>
      </c>
      <c r="R29" s="54">
        <f>ROUND(Spotify!K32*100,0)</f>
        <v>92</v>
      </c>
      <c r="S29" s="54">
        <f>Spotify!N32</f>
        <v>-3.0510000000000002</v>
      </c>
      <c r="T29" s="54">
        <f>ROUND(Spotify!T32*100,0)</f>
        <v>85</v>
      </c>
      <c r="U29" s="54">
        <f>ROUND(Spotify!F32/60000,1)</f>
        <v>4.9000000000000004</v>
      </c>
      <c r="V29" s="54">
        <f>ROUND(Spotify!Q32*100,0)</f>
        <v>2</v>
      </c>
      <c r="W29" s="54">
        <f>Spotify!G32</f>
        <v>82</v>
      </c>
    </row>
    <row r="30" spans="1:23" s="53" customFormat="1" ht="15" x14ac:dyDescent="0.3">
      <c r="A30" s="87">
        <f t="shared" ca="1" si="2"/>
        <v>0.96996975857619883</v>
      </c>
      <c r="B30" s="93" t="s">
        <v>1</v>
      </c>
      <c r="C30" s="94"/>
      <c r="D30" s="95" t="s">
        <v>83</v>
      </c>
      <c r="E30" s="94" t="s">
        <v>84</v>
      </c>
      <c r="F30" s="94"/>
      <c r="G30" s="96">
        <v>2015</v>
      </c>
      <c r="H30" s="94" t="s">
        <v>13</v>
      </c>
      <c r="I30" s="94"/>
      <c r="J30" s="88" t="s">
        <v>1380</v>
      </c>
      <c r="K30" s="90" t="str">
        <f>CONCATENATE(SUBSTITUTE(Spotify!J33,",",";"),";",J30)</f>
        <v>french jazz;dance;fast</v>
      </c>
      <c r="L30" s="86"/>
      <c r="M30" s="54" t="str">
        <f>Spotify!B33</f>
        <v>Bistro Fada</v>
      </c>
      <c r="N30" s="92" t="str">
        <f>Spotify!D33</f>
        <v>Stephane Wrembel</v>
      </c>
      <c r="O30" s="92">
        <f>Spotify!E33</f>
        <v>40676</v>
      </c>
      <c r="P30" s="54">
        <f>ROUND(Spotify!U33,0)</f>
        <v>99</v>
      </c>
      <c r="Q30" s="54">
        <f>ROUND(Spotify!L33*100,0)</f>
        <v>37</v>
      </c>
      <c r="R30" s="54">
        <f>ROUND(Spotify!K33*100,0)</f>
        <v>76</v>
      </c>
      <c r="S30" s="54">
        <f>Spotify!N33</f>
        <v>-10.907999999999999</v>
      </c>
      <c r="T30" s="54">
        <f>ROUND(Spotify!T33*100,0)</f>
        <v>86</v>
      </c>
      <c r="U30" s="54">
        <f>ROUND(Spotify!F33/60000,1)</f>
        <v>3</v>
      </c>
      <c r="V30" s="54">
        <f>ROUND(Spotify!Q33*100,0)</f>
        <v>89</v>
      </c>
      <c r="W30" s="54">
        <f>Spotify!G33</f>
        <v>52</v>
      </c>
    </row>
    <row r="31" spans="1:23" s="53" customFormat="1" ht="15" x14ac:dyDescent="0.3">
      <c r="A31" s="87">
        <f t="shared" ca="1" si="2"/>
        <v>3.9207695164200973E-2</v>
      </c>
      <c r="B31" s="93" t="s">
        <v>1</v>
      </c>
      <c r="C31" s="94"/>
      <c r="D31" s="95" t="s">
        <v>790</v>
      </c>
      <c r="E31" s="94" t="s">
        <v>791</v>
      </c>
      <c r="F31" s="94"/>
      <c r="G31" s="96">
        <v>1970</v>
      </c>
      <c r="H31" s="94" t="s">
        <v>12</v>
      </c>
      <c r="I31" s="94" t="s">
        <v>63</v>
      </c>
      <c r="J31" s="88" t="s">
        <v>1442</v>
      </c>
      <c r="K31" s="90" t="str">
        <f>CONCATENATE(SUBSTITUTE(Spotify!J35,",",";"),";",J31)</f>
        <v>;pop;acoustic;alternative;retro;oldies</v>
      </c>
      <c r="L31" s="86"/>
      <c r="M31" s="54" t="str">
        <f>Spotify!B35</f>
        <v>Black or White - Single Version</v>
      </c>
      <c r="N31" s="92" t="str">
        <f>Spotify!D35</f>
        <v>Michael Jackson</v>
      </c>
      <c r="O31" s="92">
        <f>Spotify!E35</f>
        <v>37942</v>
      </c>
      <c r="P31" s="54">
        <f>ROUND(Spotify!U35,0)</f>
        <v>115</v>
      </c>
      <c r="Q31" s="54">
        <f>ROUND(Spotify!L35*100,0)</f>
        <v>93</v>
      </c>
      <c r="R31" s="54">
        <f>ROUND(Spotify!K35*100,0)</f>
        <v>76</v>
      </c>
      <c r="S31" s="54">
        <f>Spotify!N35</f>
        <v>-2.7679999999999998</v>
      </c>
      <c r="T31" s="54">
        <f>ROUND(Spotify!T35*100,0)</f>
        <v>96</v>
      </c>
      <c r="U31" s="54">
        <f>ROUND(Spotify!F35/60000,1)</f>
        <v>3.3</v>
      </c>
      <c r="V31" s="54">
        <f>ROUND(Spotify!Q35*100,0)</f>
        <v>11</v>
      </c>
      <c r="W31" s="54">
        <f>Spotify!G35</f>
        <v>68</v>
      </c>
    </row>
    <row r="32" spans="1:23" s="53" customFormat="1" ht="15" x14ac:dyDescent="0.3">
      <c r="A32" s="87"/>
      <c r="B32" s="93"/>
      <c r="C32" s="94"/>
      <c r="D32" s="95" t="s">
        <v>1662</v>
      </c>
      <c r="E32" s="94" t="s">
        <v>426</v>
      </c>
      <c r="F32" s="94"/>
      <c r="G32" s="96">
        <v>1982</v>
      </c>
      <c r="H32" s="94" t="s">
        <v>13</v>
      </c>
      <c r="I32" s="94"/>
      <c r="J32" s="88"/>
      <c r="K32" s="90" t="str">
        <f>CONCATENATE(SUBSTITUTE(Spotify!J36,",",";"),";",J32)</f>
        <v>classic rock;psychedelic rock;</v>
      </c>
      <c r="L32" s="86"/>
      <c r="M32" s="54" t="str">
        <f>Spotify!B36</f>
        <v>Blackbird - Remastered 2009</v>
      </c>
      <c r="N32" s="92" t="str">
        <f>Spotify!D36</f>
        <v>The Beatles</v>
      </c>
      <c r="O32" s="92">
        <f>Spotify!E36</f>
        <v>25164</v>
      </c>
      <c r="P32" s="54">
        <f>ROUND(Spotify!U36,0)</f>
        <v>94</v>
      </c>
      <c r="Q32" s="54">
        <f>ROUND(Spotify!L36*100,0)</f>
        <v>13</v>
      </c>
      <c r="R32" s="54">
        <f>ROUND(Spotify!K36*100,0)</f>
        <v>69</v>
      </c>
      <c r="S32" s="54">
        <f>Spotify!N36</f>
        <v>-14.361000000000001</v>
      </c>
      <c r="T32" s="54">
        <f>ROUND(Spotify!T36*100,0)</f>
        <v>37</v>
      </c>
      <c r="U32" s="54">
        <f>ROUND(Spotify!F36/60000,1)</f>
        <v>2.2999999999999998</v>
      </c>
      <c r="V32" s="54">
        <f>ROUND(Spotify!Q36*100,0)</f>
        <v>75</v>
      </c>
      <c r="W32" s="54">
        <f>Spotify!G36</f>
        <v>80</v>
      </c>
    </row>
    <row r="33" spans="1:23" s="53" customFormat="1" ht="15" x14ac:dyDescent="0.3">
      <c r="A33" s="87">
        <f t="shared" ref="A33:A41" ca="1" si="3">RAND()</f>
        <v>0.82305477587486298</v>
      </c>
      <c r="B33" s="93" t="s">
        <v>1</v>
      </c>
      <c r="C33" s="94" t="s">
        <v>10</v>
      </c>
      <c r="D33" s="95" t="s">
        <v>85</v>
      </c>
      <c r="E33" s="94" t="s">
        <v>86</v>
      </c>
      <c r="F33" s="94"/>
      <c r="G33" s="96">
        <v>2011</v>
      </c>
      <c r="H33" s="94" t="s">
        <v>59</v>
      </c>
      <c r="I33" s="94" t="s">
        <v>88</v>
      </c>
      <c r="J33" s="88" t="s">
        <v>1520</v>
      </c>
      <c r="K33" s="90" t="str">
        <f>CONCATENATE(SUBSTITUTE(Spotify!J38,",",";"),";",J33)</f>
        <v>folk;folk rock;instrumental;waltz</v>
      </c>
      <c r="L33" s="86"/>
      <c r="M33" s="54" t="str">
        <f>Spotify!B38</f>
        <v>Blowin' in the Wind</v>
      </c>
      <c r="N33" s="92" t="str">
        <f>Spotify!D38</f>
        <v>Peter, Paul and Mary</v>
      </c>
      <c r="O33" s="92">
        <f>Spotify!E38</f>
        <v>1963</v>
      </c>
      <c r="P33" s="54">
        <f>ROUND(Spotify!U38,0)</f>
        <v>155</v>
      </c>
      <c r="Q33" s="54">
        <f>ROUND(Spotify!L38*100,0)</f>
        <v>8</v>
      </c>
      <c r="R33" s="54">
        <f>ROUND(Spotify!K38*100,0)</f>
        <v>38</v>
      </c>
      <c r="S33" s="54">
        <f>Spotify!N38</f>
        <v>-17.77</v>
      </c>
      <c r="T33" s="54">
        <f>ROUND(Spotify!T38*100,0)</f>
        <v>56</v>
      </c>
      <c r="U33" s="54">
        <f>ROUND(Spotify!F38/60000,1)</f>
        <v>3</v>
      </c>
      <c r="V33" s="54">
        <f>ROUND(Spotify!Q38*100,0)</f>
        <v>83</v>
      </c>
      <c r="W33" s="54">
        <f>Spotify!G38</f>
        <v>60</v>
      </c>
    </row>
    <row r="34" spans="1:23" s="53" customFormat="1" ht="15" x14ac:dyDescent="0.3">
      <c r="A34" s="87">
        <f t="shared" ca="1" si="3"/>
        <v>0.83540048845279258</v>
      </c>
      <c r="B34" s="93"/>
      <c r="C34" s="94" t="s">
        <v>93</v>
      </c>
      <c r="D34" s="95" t="s">
        <v>795</v>
      </c>
      <c r="E34" s="94" t="s">
        <v>794</v>
      </c>
      <c r="F34" s="94"/>
      <c r="G34" s="96">
        <v>1997</v>
      </c>
      <c r="H34" s="94" t="s">
        <v>12</v>
      </c>
      <c r="I34" s="94" t="s">
        <v>29</v>
      </c>
      <c r="J34" s="88" t="s">
        <v>1371</v>
      </c>
      <c r="K34" s="90" t="str">
        <f>CONCATENATE(SUBSTITUTE(Spotify!J39,",",";"),";",J34)</f>
        <v>yacht rock;alternative</v>
      </c>
      <c r="L34" s="86"/>
      <c r="M34" s="54" t="str">
        <f>Spotify!B39</f>
        <v>Brandy (You're a Fine Girl)</v>
      </c>
      <c r="N34" s="92" t="str">
        <f>Spotify!D39</f>
        <v>Looking Glass</v>
      </c>
      <c r="O34" s="92">
        <f>Spotify!E39</f>
        <v>1972</v>
      </c>
      <c r="P34" s="54">
        <f>ROUND(Spotify!U39,0)</f>
        <v>125</v>
      </c>
      <c r="Q34" s="54">
        <f>ROUND(Spotify!L39*100,0)</f>
        <v>63</v>
      </c>
      <c r="R34" s="54">
        <f>ROUND(Spotify!K39*100,0)</f>
        <v>72</v>
      </c>
      <c r="S34" s="54">
        <f>Spotify!N39</f>
        <v>-11.369</v>
      </c>
      <c r="T34" s="54">
        <f>ROUND(Spotify!T39*100,0)</f>
        <v>83</v>
      </c>
      <c r="U34" s="54">
        <f>ROUND(Spotify!F39/60000,1)</f>
        <v>3.2</v>
      </c>
      <c r="V34" s="54">
        <f>ROUND(Spotify!Q39*100,0)</f>
        <v>40</v>
      </c>
      <c r="W34" s="54">
        <f>Spotify!G39</f>
        <v>78</v>
      </c>
    </row>
    <row r="35" spans="1:23" s="53" customFormat="1" ht="15" x14ac:dyDescent="0.3">
      <c r="A35" s="87"/>
      <c r="B35" s="93" t="s">
        <v>1</v>
      </c>
      <c r="C35" s="94"/>
      <c r="D35" s="95" t="s">
        <v>1865</v>
      </c>
      <c r="E35" s="94" t="s">
        <v>426</v>
      </c>
      <c r="F35" s="94"/>
      <c r="G35" s="96">
        <v>1991</v>
      </c>
      <c r="H35" s="94" t="s">
        <v>13</v>
      </c>
      <c r="I35" s="94" t="s">
        <v>69</v>
      </c>
      <c r="J35" s="88"/>
      <c r="K35" s="90" t="str">
        <f>CONCATENATE(SUBSTITUTE(Spotify!J40,",",";"),";",J35)</f>
        <v>samba;seresta;classical;chamber music;brazilian jazz;bossa nova;latin jazz;afro-cuban jazz;big band;jazz;</v>
      </c>
      <c r="L35" s="86"/>
      <c r="M35" s="54" t="str">
        <f>Spotify!B40</f>
        <v>Brasileirinho</v>
      </c>
      <c r="N35" s="92" t="str">
        <f>Spotify!D40</f>
        <v>Waldir Azevedo;Yo-Yo Ma;Romero Lubambo;Cyro Baptista;Jose De Faria;José Da Silva;Helio Alves;Nilson Matta;Paquito D'Rivera</v>
      </c>
      <c r="O35" s="92">
        <f>Spotify!E40</f>
        <v>2003</v>
      </c>
      <c r="P35" s="54">
        <f>ROUND(Spotify!U40,0)</f>
        <v>105</v>
      </c>
      <c r="Q35" s="54">
        <f>ROUND(Spotify!L40*100,0)</f>
        <v>52</v>
      </c>
      <c r="R35" s="54">
        <f>ROUND(Spotify!K40*100,0)</f>
        <v>49</v>
      </c>
      <c r="S35" s="54">
        <f>Spotify!N40</f>
        <v>-13.08</v>
      </c>
      <c r="T35" s="54">
        <f>ROUND(Spotify!T40*100,0)</f>
        <v>92</v>
      </c>
      <c r="U35" s="54">
        <f>ROUND(Spotify!F40/60000,1)</f>
        <v>3.4</v>
      </c>
      <c r="V35" s="54">
        <f>ROUND(Spotify!Q40*100,0)</f>
        <v>35</v>
      </c>
      <c r="W35" s="54">
        <f>Spotify!G40</f>
        <v>33</v>
      </c>
    </row>
    <row r="36" spans="1:23" s="53" customFormat="1" ht="15" x14ac:dyDescent="0.3">
      <c r="A36" s="87">
        <f t="shared" ca="1" si="3"/>
        <v>0.12828127999012529</v>
      </c>
      <c r="B36" s="93" t="s">
        <v>1</v>
      </c>
      <c r="C36" s="94" t="s">
        <v>46</v>
      </c>
      <c r="D36" s="95" t="s">
        <v>89</v>
      </c>
      <c r="E36" s="97" t="s">
        <v>90</v>
      </c>
      <c r="F36" s="94"/>
      <c r="G36" s="96">
        <v>1968</v>
      </c>
      <c r="H36" s="94" t="s">
        <v>63</v>
      </c>
      <c r="I36" s="94"/>
      <c r="J36" s="88" t="s">
        <v>1562</v>
      </c>
      <c r="K36" s="90" t="str">
        <f>CONCATENATE(SUBSTITUTE(Spotify!J41,",",";"),";",J36)</f>
        <v>;oldies;retro;acoustic;alternative;folk</v>
      </c>
      <c r="L36" s="86"/>
      <c r="M36" s="54" t="str">
        <f>Spotify!B41</f>
        <v>Breakfast At Tiffany's</v>
      </c>
      <c r="N36" s="92" t="str">
        <f>Spotify!D41</f>
        <v>Deep Blue Something</v>
      </c>
      <c r="O36" s="92">
        <f>Spotify!E41</f>
        <v>34700</v>
      </c>
      <c r="P36" s="54">
        <f>ROUND(Spotify!U41,0)</f>
        <v>110</v>
      </c>
      <c r="Q36" s="54">
        <f>ROUND(Spotify!L41*100,0)</f>
        <v>83</v>
      </c>
      <c r="R36" s="54">
        <f>ROUND(Spotify!K41*100,0)</f>
        <v>62</v>
      </c>
      <c r="S36" s="54">
        <f>Spotify!N41</f>
        <v>-5.548</v>
      </c>
      <c r="T36" s="54">
        <f>ROUND(Spotify!T41*100,0)</f>
        <v>54</v>
      </c>
      <c r="U36" s="54">
        <f>ROUND(Spotify!F41/60000,1)</f>
        <v>4.3</v>
      </c>
      <c r="V36" s="54">
        <f>ROUND(Spotify!Q41*100,0)</f>
        <v>11</v>
      </c>
      <c r="W36" s="54">
        <f>Spotify!G41</f>
        <v>73</v>
      </c>
    </row>
    <row r="37" spans="1:23" ht="15" x14ac:dyDescent="0.3">
      <c r="A37" s="87">
        <f t="shared" ca="1" si="3"/>
        <v>0.32569321201067858</v>
      </c>
      <c r="B37" s="93"/>
      <c r="C37" s="94" t="s">
        <v>55</v>
      </c>
      <c r="D37" s="100" t="s">
        <v>535</v>
      </c>
      <c r="E37" s="94" t="s">
        <v>536</v>
      </c>
      <c r="F37" s="94"/>
      <c r="G37" s="96">
        <v>2019</v>
      </c>
      <c r="H37" s="94" t="s">
        <v>69</v>
      </c>
      <c r="I37" s="94" t="s">
        <v>76</v>
      </c>
      <c r="J37" s="88" t="s">
        <v>1455</v>
      </c>
      <c r="K37" s="90" t="str">
        <f>CONCATENATE(SUBSTITUTE(Spotify!J42,",",";"),";",J37)</f>
        <v>;groovy;dance;fast;love</v>
      </c>
      <c r="L37" s="86"/>
      <c r="M37" s="54" t="str">
        <f>Spotify!B42</f>
        <v>Breathe (2 AM)</v>
      </c>
      <c r="N37" s="92" t="str">
        <f>Spotify!D42</f>
        <v>Anna Nalick</v>
      </c>
      <c r="O37" s="92">
        <f>Spotify!E42</f>
        <v>2005</v>
      </c>
      <c r="P37" s="54">
        <f>ROUND(Spotify!U42,0)</f>
        <v>170</v>
      </c>
      <c r="Q37" s="54">
        <f>ROUND(Spotify!L42*100,0)</f>
        <v>45</v>
      </c>
      <c r="R37" s="54">
        <f>ROUND(Spotify!K42*100,0)</f>
        <v>39</v>
      </c>
      <c r="S37" s="54">
        <f>Spotify!N42</f>
        <v>-7.7149999999999999</v>
      </c>
      <c r="T37" s="54">
        <f>ROUND(Spotify!T42*100,0)</f>
        <v>29</v>
      </c>
      <c r="U37" s="54">
        <f>ROUND(Spotify!F42/60000,1)</f>
        <v>4.7</v>
      </c>
      <c r="V37" s="54">
        <f>ROUND(Spotify!Q42*100,0)</f>
        <v>42</v>
      </c>
      <c r="W37" s="54">
        <f>Spotify!G42</f>
        <v>66</v>
      </c>
    </row>
    <row r="38" spans="1:23" ht="15" x14ac:dyDescent="0.3">
      <c r="A38" s="87">
        <f t="shared" ca="1" si="3"/>
        <v>0.67179284323807709</v>
      </c>
      <c r="B38" s="93"/>
      <c r="C38" s="94" t="s">
        <v>37</v>
      </c>
      <c r="D38" s="100" t="s">
        <v>91</v>
      </c>
      <c r="E38" s="94" t="s">
        <v>571</v>
      </c>
      <c r="F38" s="94" t="s">
        <v>92</v>
      </c>
      <c r="G38" s="96">
        <v>1962</v>
      </c>
      <c r="H38" s="94" t="s">
        <v>63</v>
      </c>
      <c r="I38" s="94"/>
      <c r="J38" s="88" t="s">
        <v>1563</v>
      </c>
      <c r="K38" s="90" t="str">
        <f>CONCATENATE(SUBSTITUTE(Spotify!J43,",",";"),";",J38)</f>
        <v>;acoustic;oldies;retro;folk</v>
      </c>
      <c r="L38" s="86"/>
      <c r="M38" s="54" t="str">
        <f>Spotify!B43</f>
        <v>Brown Eyed Girl</v>
      </c>
      <c r="N38" s="92" t="str">
        <f>Spotify!D43</f>
        <v>Van Morrison</v>
      </c>
      <c r="O38" s="92" t="str">
        <f>Spotify!E43</f>
        <v>1967-09</v>
      </c>
      <c r="P38" s="54">
        <f>ROUND(Spotify!U43,0)</f>
        <v>151</v>
      </c>
      <c r="Q38" s="54">
        <f>ROUND(Spotify!L43*100,0)</f>
        <v>58</v>
      </c>
      <c r="R38" s="54">
        <f>ROUND(Spotify!K43*100,0)</f>
        <v>49</v>
      </c>
      <c r="S38" s="54">
        <f>Spotify!N43</f>
        <v>-10.964</v>
      </c>
      <c r="T38" s="54">
        <f>ROUND(Spotify!T43*100,0)</f>
        <v>91</v>
      </c>
      <c r="U38" s="54">
        <f>ROUND(Spotify!F43/60000,1)</f>
        <v>3.1</v>
      </c>
      <c r="V38" s="54">
        <f>ROUND(Spotify!Q43*100,0)</f>
        <v>19</v>
      </c>
      <c r="W38" s="54">
        <f>Spotify!G43</f>
        <v>19</v>
      </c>
    </row>
    <row r="39" spans="1:23" ht="15" x14ac:dyDescent="0.3">
      <c r="A39" s="87">
        <f t="shared" ca="1" si="3"/>
        <v>0.19987132371749838</v>
      </c>
      <c r="B39" s="93"/>
      <c r="C39" s="94" t="s">
        <v>21</v>
      </c>
      <c r="D39" s="100" t="s">
        <v>580</v>
      </c>
      <c r="E39" s="94" t="s">
        <v>581</v>
      </c>
      <c r="F39" s="94"/>
      <c r="G39" s="96">
        <v>1972</v>
      </c>
      <c r="H39" s="94" t="s">
        <v>12</v>
      </c>
      <c r="I39" s="94" t="s">
        <v>261</v>
      </c>
      <c r="J39" s="88" t="s">
        <v>1403</v>
      </c>
      <c r="K39" s="90" t="str">
        <f>CONCATENATE(SUBSTITUTE(Spotify!J44,",",";"),";",J39)</f>
        <v>;groovy;dance;fast;oldies;retro</v>
      </c>
      <c r="L39" s="86"/>
      <c r="M39" s="54" t="str">
        <f>Spotify!B44</f>
        <v>Budapest</v>
      </c>
      <c r="N39" s="92" t="str">
        <f>Spotify!D44</f>
        <v>George Ezra</v>
      </c>
      <c r="O39" s="92">
        <f>Spotify!E44</f>
        <v>41820</v>
      </c>
      <c r="P39" s="54">
        <f>ROUND(Spotify!U44,0)</f>
        <v>128</v>
      </c>
      <c r="Q39" s="54">
        <f>ROUND(Spotify!L44*100,0)</f>
        <v>46</v>
      </c>
      <c r="R39" s="54">
        <f>ROUND(Spotify!K44*100,0)</f>
        <v>72</v>
      </c>
      <c r="S39" s="54">
        <f>Spotify!N44</f>
        <v>-8.3030000000000008</v>
      </c>
      <c r="T39" s="54">
        <f>ROUND(Spotify!T44*100,0)</f>
        <v>39</v>
      </c>
      <c r="U39" s="54">
        <f>ROUND(Spotify!F44/60000,1)</f>
        <v>3.3</v>
      </c>
      <c r="V39" s="54">
        <f>ROUND(Spotify!Q44*100,0)</f>
        <v>8</v>
      </c>
      <c r="W39" s="54">
        <f>Spotify!G44</f>
        <v>83</v>
      </c>
    </row>
    <row r="40" spans="1:23" ht="15" x14ac:dyDescent="0.3">
      <c r="A40" s="87">
        <f t="shared" ca="1" si="3"/>
        <v>0.53505531335906764</v>
      </c>
      <c r="B40" s="93" t="s">
        <v>1</v>
      </c>
      <c r="C40" s="94" t="s">
        <v>94</v>
      </c>
      <c r="D40" s="95" t="s">
        <v>95</v>
      </c>
      <c r="E40" s="97" t="s">
        <v>96</v>
      </c>
      <c r="F40" s="94"/>
      <c r="G40" s="96">
        <v>1947</v>
      </c>
      <c r="H40" s="94" t="s">
        <v>97</v>
      </c>
      <c r="I40" s="94"/>
      <c r="J40" s="88" t="s">
        <v>1381</v>
      </c>
      <c r="K40" s="90" t="str">
        <f>CONCATENATE(SUBSTITUTE(Spotify!J45,",",";"),";",J40)</f>
        <v>soft pop;acoustic pop;instrumental</v>
      </c>
      <c r="L40" s="86"/>
      <c r="M40" s="54" t="str">
        <f>Spotify!B45</f>
        <v>Butterfly</v>
      </c>
      <c r="N40" s="92" t="str">
        <f>Spotify!D45</f>
        <v>Jason Mraz</v>
      </c>
      <c r="O40" s="92">
        <f>Spotify!E45</f>
        <v>39580</v>
      </c>
      <c r="P40" s="54">
        <f>ROUND(Spotify!U45,0)</f>
        <v>108</v>
      </c>
      <c r="Q40" s="54">
        <f>ROUND(Spotify!L45*100,0)</f>
        <v>66</v>
      </c>
      <c r="R40" s="54">
        <f>ROUND(Spotify!K45*100,0)</f>
        <v>72</v>
      </c>
      <c r="S40" s="54">
        <f>Spotify!N45</f>
        <v>-7.2069999999999999</v>
      </c>
      <c r="T40" s="54">
        <f>ROUND(Spotify!T45*100,0)</f>
        <v>80</v>
      </c>
      <c r="U40" s="54">
        <f>ROUND(Spotify!F45/60000,1)</f>
        <v>5</v>
      </c>
      <c r="V40" s="54">
        <f>ROUND(Spotify!Q45*100,0)</f>
        <v>15</v>
      </c>
      <c r="W40" s="54">
        <f>Spotify!G45</f>
        <v>46</v>
      </c>
    </row>
    <row r="41" spans="1:23" ht="15" x14ac:dyDescent="0.3">
      <c r="A41" s="87">
        <f t="shared" ca="1" si="3"/>
        <v>0.3447475819883582</v>
      </c>
      <c r="B41" s="93" t="s">
        <v>1</v>
      </c>
      <c r="C41" s="94" t="s">
        <v>37</v>
      </c>
      <c r="D41" s="95" t="s">
        <v>98</v>
      </c>
      <c r="E41" s="94" t="s">
        <v>99</v>
      </c>
      <c r="F41" s="94"/>
      <c r="G41" s="96">
        <v>1995</v>
      </c>
      <c r="H41" s="94" t="s">
        <v>12</v>
      </c>
      <c r="I41" s="94" t="s">
        <v>29</v>
      </c>
      <c r="J41" s="88" t="s">
        <v>1370</v>
      </c>
      <c r="K41" s="90" t="str">
        <f>CONCATENATE(SUBSTITUTE(Spotify!J46,",",";"),";",J41)</f>
        <v>doo-wop;love</v>
      </c>
      <c r="L41" s="86"/>
      <c r="M41" s="54" t="str">
        <f>Spotify!B46</f>
        <v>Bye Bye Love</v>
      </c>
      <c r="N41" s="92" t="str">
        <f>Spotify!D46</f>
        <v>The Everly Brothers</v>
      </c>
      <c r="O41" s="92">
        <f>Spotify!E46</f>
        <v>23590</v>
      </c>
      <c r="P41" s="54">
        <f>ROUND(Spotify!U46,0)</f>
        <v>170</v>
      </c>
      <c r="Q41" s="54">
        <f>ROUND(Spotify!L46*100,0)</f>
        <v>52</v>
      </c>
      <c r="R41" s="54">
        <f>ROUND(Spotify!K46*100,0)</f>
        <v>55</v>
      </c>
      <c r="S41" s="54">
        <f>Spotify!N46</f>
        <v>-9.1760000000000002</v>
      </c>
      <c r="T41" s="54">
        <f>ROUND(Spotify!T46*100,0)</f>
        <v>89</v>
      </c>
      <c r="U41" s="54">
        <f>ROUND(Spotify!F46/60000,1)</f>
        <v>2.4</v>
      </c>
      <c r="V41" s="54">
        <f>ROUND(Spotify!Q46*100,0)</f>
        <v>72</v>
      </c>
      <c r="W41" s="54">
        <f>Spotify!G46</f>
        <v>54</v>
      </c>
    </row>
    <row r="42" spans="1:23" ht="15" x14ac:dyDescent="0.3">
      <c r="A42" s="87"/>
      <c r="B42" s="93" t="s">
        <v>1</v>
      </c>
      <c r="C42" s="94"/>
      <c r="D42" s="95" t="s">
        <v>1670</v>
      </c>
      <c r="E42" s="94" t="s">
        <v>1672</v>
      </c>
      <c r="F42" s="94"/>
      <c r="G42" s="96">
        <v>2004</v>
      </c>
      <c r="H42" s="94" t="s">
        <v>63</v>
      </c>
      <c r="I42" s="94" t="s">
        <v>49</v>
      </c>
      <c r="J42" s="88"/>
      <c r="K42" s="90" t="str">
        <f>CONCATENATE(SUBSTITUTE(Spotify!J47,",",";"),";",J42)</f>
        <v>doo-wop;adult standards;</v>
      </c>
      <c r="L42" s="86"/>
      <c r="M42" s="54" t="str">
        <f>Spotify!B47</f>
        <v>Calendar Girl</v>
      </c>
      <c r="N42" s="92" t="str">
        <f>Spotify!D47</f>
        <v>Neil Sedaka</v>
      </c>
      <c r="O42" s="92">
        <f>Spotify!E47</f>
        <v>21713</v>
      </c>
      <c r="P42" s="54">
        <f>ROUND(Spotify!U47,0)</f>
        <v>123</v>
      </c>
      <c r="Q42" s="54">
        <f>ROUND(Spotify!L47*100,0)</f>
        <v>65</v>
      </c>
      <c r="R42" s="54">
        <f>ROUND(Spotify!K47*100,0)</f>
        <v>70</v>
      </c>
      <c r="S42" s="54">
        <f>Spotify!N47</f>
        <v>-7.7270000000000003</v>
      </c>
      <c r="T42" s="54">
        <f>ROUND(Spotify!T47*100,0)</f>
        <v>86</v>
      </c>
      <c r="U42" s="54">
        <f>ROUND(Spotify!F47/60000,1)</f>
        <v>2.7</v>
      </c>
      <c r="V42" s="54">
        <f>ROUND(Spotify!Q47*100,0)</f>
        <v>40</v>
      </c>
      <c r="W42" s="54">
        <f>Spotify!G47</f>
        <v>57</v>
      </c>
    </row>
    <row r="43" spans="1:23" ht="15" x14ac:dyDescent="0.3">
      <c r="A43" s="87">
        <f t="shared" ref="A43:A61" ca="1" si="4">RAND()</f>
        <v>4.6716813442928107E-2</v>
      </c>
      <c r="B43" s="102"/>
      <c r="C43" s="101" t="s">
        <v>46</v>
      </c>
      <c r="D43" s="95" t="s">
        <v>100</v>
      </c>
      <c r="E43" s="101" t="s">
        <v>101</v>
      </c>
      <c r="F43" s="101"/>
      <c r="G43" s="103">
        <v>1967</v>
      </c>
      <c r="H43" s="101" t="s">
        <v>12</v>
      </c>
      <c r="I43" s="101"/>
      <c r="J43" s="104" t="s">
        <v>1443</v>
      </c>
      <c r="K43" s="90" t="str">
        <f>CONCATENATE(SUBSTITUTE(Spotify!J48,",",";"),";",J43)</f>
        <v>funk rock;alternative rock;rock;love;dance;fast;oldies;retro</v>
      </c>
      <c r="L43" s="86"/>
      <c r="M43" s="54" t="str">
        <f>Spotify!B48</f>
        <v>Californication</v>
      </c>
      <c r="N43" s="92" t="str">
        <f>Spotify!D48</f>
        <v>Red Hot Chili Peppers</v>
      </c>
      <c r="O43" s="92">
        <f>Spotify!E48</f>
        <v>36319</v>
      </c>
      <c r="P43" s="54">
        <f>ROUND(Spotify!U48,0)</f>
        <v>96</v>
      </c>
      <c r="Q43" s="54">
        <f>ROUND(Spotify!L48*100,0)</f>
        <v>77</v>
      </c>
      <c r="R43" s="54">
        <f>ROUND(Spotify!K48*100,0)</f>
        <v>59</v>
      </c>
      <c r="S43" s="54">
        <f>Spotify!N48</f>
        <v>-2.7879999999999998</v>
      </c>
      <c r="T43" s="54">
        <f>ROUND(Spotify!T48*100,0)</f>
        <v>33</v>
      </c>
      <c r="U43" s="54">
        <f>ROUND(Spotify!F48/60000,1)</f>
        <v>5.5</v>
      </c>
      <c r="V43" s="54">
        <f>ROUND(Spotify!Q48*100,0)</f>
        <v>0</v>
      </c>
      <c r="W43" s="54">
        <f>Spotify!G48</f>
        <v>88</v>
      </c>
    </row>
    <row r="44" spans="1:23" ht="15" x14ac:dyDescent="0.3">
      <c r="A44" s="87">
        <f t="shared" ca="1" si="4"/>
        <v>0.14728374665031785</v>
      </c>
      <c r="B44" s="93"/>
      <c r="C44" s="94" t="s">
        <v>14</v>
      </c>
      <c r="D44" s="95" t="s">
        <v>102</v>
      </c>
      <c r="E44" s="94" t="s">
        <v>103</v>
      </c>
      <c r="F44" s="94"/>
      <c r="G44" s="96">
        <v>2013</v>
      </c>
      <c r="H44" s="94" t="s">
        <v>12</v>
      </c>
      <c r="I44" s="94" t="s">
        <v>63</v>
      </c>
      <c r="J44" s="88" t="s">
        <v>1378</v>
      </c>
      <c r="K44" s="90" t="str">
        <f>CONCATENATE(SUBSTITUTE(Spotify!J49,",",";"),";",J44)</f>
        <v>rockabilly;rock and roll;love;dance</v>
      </c>
      <c r="L44" s="86"/>
      <c r="M44" s="54" t="str">
        <f>Spotify!B49</f>
        <v>Can't Help Falling in Love</v>
      </c>
      <c r="N44" s="92" t="str">
        <f>Spotify!D49</f>
        <v>Elvis Presley</v>
      </c>
      <c r="O44" s="92">
        <f>Spotify!E49</f>
        <v>22574</v>
      </c>
      <c r="P44" s="54">
        <f>ROUND(Spotify!U49,0)</f>
        <v>100</v>
      </c>
      <c r="Q44" s="54">
        <f>ROUND(Spotify!L49*100,0)</f>
        <v>29</v>
      </c>
      <c r="R44" s="54">
        <f>ROUND(Spotify!K49*100,0)</f>
        <v>40</v>
      </c>
      <c r="S44" s="54">
        <f>Spotify!N49</f>
        <v>-14.061999999999999</v>
      </c>
      <c r="T44" s="54">
        <f>ROUND(Spotify!T49*100,0)</f>
        <v>34</v>
      </c>
      <c r="U44" s="54">
        <f>ROUND(Spotify!F49/60000,1)</f>
        <v>3.1</v>
      </c>
      <c r="V44" s="54">
        <f>ROUND(Spotify!Q49*100,0)</f>
        <v>94</v>
      </c>
      <c r="W44" s="54">
        <f>Spotify!G49</f>
        <v>83</v>
      </c>
    </row>
    <row r="45" spans="1:23" ht="15" x14ac:dyDescent="0.3">
      <c r="A45" s="87">
        <f t="shared" ca="1" si="4"/>
        <v>0.33313400166327445</v>
      </c>
      <c r="B45" s="93" t="s">
        <v>1</v>
      </c>
      <c r="C45" s="94" t="s">
        <v>105</v>
      </c>
      <c r="D45" s="95" t="s">
        <v>106</v>
      </c>
      <c r="E45" s="94" t="s">
        <v>107</v>
      </c>
      <c r="F45" s="94"/>
      <c r="G45" s="96">
        <v>2008</v>
      </c>
      <c r="H45" s="94" t="s">
        <v>13</v>
      </c>
      <c r="I45" s="94"/>
      <c r="J45" s="88" t="s">
        <v>1383</v>
      </c>
      <c r="K45" s="90" t="str">
        <f>CONCATENATE(SUBSTITUTE(Spotify!J50,",",";"),";",J45)</f>
        <v>yacht rock;adult standards;love;dance;fast</v>
      </c>
      <c r="L45" s="86"/>
      <c r="M45" s="54" t="str">
        <f>Spotify!B50</f>
        <v>Can't Smile Without You</v>
      </c>
      <c r="N45" s="92" t="str">
        <f>Spotify!D50</f>
        <v>Barry Manilow</v>
      </c>
      <c r="O45" s="92">
        <f>Spotify!E50</f>
        <v>1978</v>
      </c>
      <c r="P45" s="54">
        <f>ROUND(Spotify!U50,0)</f>
        <v>98</v>
      </c>
      <c r="Q45" s="54">
        <f>ROUND(Spotify!L50*100,0)</f>
        <v>52</v>
      </c>
      <c r="R45" s="54">
        <f>ROUND(Spotify!K50*100,0)</f>
        <v>42</v>
      </c>
      <c r="S45" s="54">
        <f>Spotify!N50</f>
        <v>-9.9369999999999994</v>
      </c>
      <c r="T45" s="54">
        <f>ROUND(Spotify!T50*100,0)</f>
        <v>48</v>
      </c>
      <c r="U45" s="54">
        <f>ROUND(Spotify!F50/60000,1)</f>
        <v>3.2</v>
      </c>
      <c r="V45" s="54">
        <f>ROUND(Spotify!Q50*100,0)</f>
        <v>49</v>
      </c>
      <c r="W45" s="54">
        <f>Spotify!G50</f>
        <v>65</v>
      </c>
    </row>
    <row r="46" spans="1:23" ht="15" x14ac:dyDescent="0.3">
      <c r="A46" s="87">
        <f t="shared" ca="1" si="4"/>
        <v>0.19880304270174387</v>
      </c>
      <c r="B46" s="93" t="s">
        <v>1</v>
      </c>
      <c r="C46" s="94" t="s">
        <v>46</v>
      </c>
      <c r="D46" s="95" t="s">
        <v>108</v>
      </c>
      <c r="E46" s="94" t="s">
        <v>39</v>
      </c>
      <c r="F46" s="94"/>
      <c r="G46" s="96">
        <v>1957</v>
      </c>
      <c r="H46" s="94" t="s">
        <v>49</v>
      </c>
      <c r="I46" s="94" t="s">
        <v>12</v>
      </c>
      <c r="J46" s="88" t="s">
        <v>1384</v>
      </c>
      <c r="K46" s="90" t="str">
        <f>CONCATENATE(SUBSTITUTE(Spotify!J51,",",";"),";",J46)</f>
        <v>;oldies;retro;love</v>
      </c>
      <c r="L46" s="86"/>
      <c r="M46" s="54" t="str">
        <f>Spotify!B51</f>
        <v>Careless Whisper</v>
      </c>
      <c r="N46" s="92" t="str">
        <f>Spotify!D51</f>
        <v>George Michael</v>
      </c>
      <c r="O46" s="92">
        <f>Spotify!E51</f>
        <v>36108</v>
      </c>
      <c r="P46" s="54">
        <f>ROUND(Spotify!U51,0)</f>
        <v>153</v>
      </c>
      <c r="Q46" s="54">
        <f>ROUND(Spotify!L51*100,0)</f>
        <v>63</v>
      </c>
      <c r="R46" s="54">
        <f>ROUND(Spotify!K51*100,0)</f>
        <v>57</v>
      </c>
      <c r="S46" s="54">
        <f>Spotify!N51</f>
        <v>-8.8149999999999995</v>
      </c>
      <c r="T46" s="54">
        <f>ROUND(Spotify!T51*100,0)</f>
        <v>80</v>
      </c>
      <c r="U46" s="54">
        <f>ROUND(Spotify!F51/60000,1)</f>
        <v>5</v>
      </c>
      <c r="V46" s="54">
        <f>ROUND(Spotify!Q51*100,0)</f>
        <v>13</v>
      </c>
      <c r="W46" s="54">
        <f>Spotify!G51</f>
        <v>8</v>
      </c>
    </row>
    <row r="47" spans="1:23" ht="15" x14ac:dyDescent="0.3">
      <c r="A47" s="87">
        <f t="shared" ca="1" si="4"/>
        <v>0.35600692333843487</v>
      </c>
      <c r="B47" s="93" t="s">
        <v>1</v>
      </c>
      <c r="C47" s="94"/>
      <c r="D47" s="95" t="s">
        <v>546</v>
      </c>
      <c r="E47" s="97" t="s">
        <v>326</v>
      </c>
      <c r="F47" s="94"/>
      <c r="G47" s="96">
        <v>1959</v>
      </c>
      <c r="H47" s="94" t="s">
        <v>13</v>
      </c>
      <c r="I47" s="94"/>
      <c r="J47" s="88" t="s">
        <v>1530</v>
      </c>
      <c r="K47" s="90" t="str">
        <f>CONCATENATE(SUBSTITUTE(Spotify!J52,",",";"),";",J47)</f>
        <v>;oldies;retro;love;sweet</v>
      </c>
      <c r="L47" s="86"/>
      <c r="M47" s="54" t="str">
        <f>Spotify!B52</f>
        <v>Carry You Home</v>
      </c>
      <c r="N47" s="92" t="str">
        <f>Spotify!D52</f>
        <v>James Blunt</v>
      </c>
      <c r="O47" s="92">
        <f>Spotify!E52</f>
        <v>39330</v>
      </c>
      <c r="P47" s="54">
        <f>ROUND(Spotify!U52,0)</f>
        <v>83</v>
      </c>
      <c r="Q47" s="54">
        <f>ROUND(Spotify!L52*100,0)</f>
        <v>55</v>
      </c>
      <c r="R47" s="54">
        <f>ROUND(Spotify!K52*100,0)</f>
        <v>34</v>
      </c>
      <c r="S47" s="54">
        <f>Spotify!N52</f>
        <v>-7.194</v>
      </c>
      <c r="T47" s="54">
        <f>ROUND(Spotify!T52*100,0)</f>
        <v>21</v>
      </c>
      <c r="U47" s="54">
        <f>ROUND(Spotify!F52/60000,1)</f>
        <v>3.9</v>
      </c>
      <c r="V47" s="54">
        <f>ROUND(Spotify!Q52*100,0)</f>
        <v>70</v>
      </c>
      <c r="W47" s="54">
        <f>Spotify!G52</f>
        <v>65</v>
      </c>
    </row>
    <row r="48" spans="1:23" ht="15" x14ac:dyDescent="0.3">
      <c r="A48" s="87">
        <f t="shared" ca="1" si="4"/>
        <v>0.32173703117794117</v>
      </c>
      <c r="B48" s="93"/>
      <c r="C48" s="94" t="s">
        <v>77</v>
      </c>
      <c r="D48" s="95" t="s">
        <v>109</v>
      </c>
      <c r="E48" s="94" t="s">
        <v>110</v>
      </c>
      <c r="F48" s="94"/>
      <c r="G48" s="96">
        <v>1999</v>
      </c>
      <c r="H48" s="94" t="s">
        <v>29</v>
      </c>
      <c r="I48" s="94"/>
      <c r="J48" s="88" t="s">
        <v>1374</v>
      </c>
      <c r="K48" s="90" t="str">
        <f>CONCATENATE(SUBSTITUTE(Spotify!J53,",",";"),";",J48)</f>
        <v>;groovy</v>
      </c>
      <c r="L48" s="86"/>
      <c r="M48" s="54" t="str">
        <f>Spotify!B53</f>
        <v>Catch &amp; Release</v>
      </c>
      <c r="N48" s="92" t="str">
        <f>Spotify!D53</f>
        <v>Matt Simons</v>
      </c>
      <c r="O48" s="92">
        <f>Spotify!E53</f>
        <v>42265</v>
      </c>
      <c r="P48" s="54">
        <f>ROUND(Spotify!U53,0)</f>
        <v>87</v>
      </c>
      <c r="Q48" s="54">
        <f>ROUND(Spotify!L53*100,0)</f>
        <v>45</v>
      </c>
      <c r="R48" s="54">
        <f>ROUND(Spotify!K53*100,0)</f>
        <v>62</v>
      </c>
      <c r="S48" s="54">
        <f>Spotify!N53</f>
        <v>-9.3829999999999991</v>
      </c>
      <c r="T48" s="54">
        <f>ROUND(Spotify!T53*100,0)</f>
        <v>61</v>
      </c>
      <c r="U48" s="54">
        <f>ROUND(Spotify!F53/60000,1)</f>
        <v>4</v>
      </c>
      <c r="V48" s="54">
        <f>ROUND(Spotify!Q53*100,0)</f>
        <v>82</v>
      </c>
      <c r="W48" s="54">
        <f>Spotify!G53</f>
        <v>52</v>
      </c>
    </row>
    <row r="49" spans="1:23" ht="15" x14ac:dyDescent="0.3">
      <c r="A49" s="87">
        <f t="shared" ca="1" si="4"/>
        <v>0.98028794397039265</v>
      </c>
      <c r="B49" s="93"/>
      <c r="C49" s="94" t="s">
        <v>37</v>
      </c>
      <c r="D49" s="95" t="s">
        <v>111</v>
      </c>
      <c r="E49" s="94" t="s">
        <v>104</v>
      </c>
      <c r="F49" s="94"/>
      <c r="G49" s="96">
        <v>1961</v>
      </c>
      <c r="H49" s="94" t="s">
        <v>12</v>
      </c>
      <c r="I49" s="94" t="s">
        <v>33</v>
      </c>
      <c r="J49" s="88" t="s">
        <v>1518</v>
      </c>
      <c r="K49" s="90" t="str">
        <f>CONCATENATE(SUBSTITUTE(Spotify!J54,",",";"),";",J49)</f>
        <v>pop;reggae;love;slow;oldies;retro;waltz</v>
      </c>
      <c r="L49" s="86"/>
      <c r="M49" s="54" t="str">
        <f>Spotify!B54</f>
        <v>Chained To The Rhythm</v>
      </c>
      <c r="N49" s="92" t="str">
        <f>Spotify!D54</f>
        <v>Katy Perry;Skip Marley</v>
      </c>
      <c r="O49" s="92">
        <f>Spotify!E54</f>
        <v>42895</v>
      </c>
      <c r="P49" s="54">
        <f>ROUND(Spotify!U54,0)</f>
        <v>95</v>
      </c>
      <c r="Q49" s="54">
        <f>ROUND(Spotify!L54*100,0)</f>
        <v>80</v>
      </c>
      <c r="R49" s="54">
        <f>ROUND(Spotify!K54*100,0)</f>
        <v>56</v>
      </c>
      <c r="S49" s="54">
        <f>Spotify!N54</f>
        <v>-5.4039999999999999</v>
      </c>
      <c r="T49" s="54">
        <f>ROUND(Spotify!T54*100,0)</f>
        <v>47</v>
      </c>
      <c r="U49" s="54">
        <f>ROUND(Spotify!F54/60000,1)</f>
        <v>4</v>
      </c>
      <c r="V49" s="54">
        <f>ROUND(Spotify!Q54*100,0)</f>
        <v>8</v>
      </c>
      <c r="W49" s="54">
        <f>Spotify!G54</f>
        <v>73</v>
      </c>
    </row>
    <row r="50" spans="1:23" ht="15" x14ac:dyDescent="0.3">
      <c r="A50" s="87">
        <f t="shared" ca="1" si="4"/>
        <v>0.14315330537461179</v>
      </c>
      <c r="B50" s="93" t="s">
        <v>1</v>
      </c>
      <c r="C50" s="94"/>
      <c r="D50" s="95" t="s">
        <v>658</v>
      </c>
      <c r="E50" s="94" t="s">
        <v>638</v>
      </c>
      <c r="F50" s="94"/>
      <c r="G50" s="96">
        <v>1978</v>
      </c>
      <c r="H50" s="94" t="s">
        <v>13</v>
      </c>
      <c r="I50" s="94" t="s">
        <v>69</v>
      </c>
      <c r="J50" s="88" t="s">
        <v>1530</v>
      </c>
      <c r="K50" s="90" t="str">
        <f>CONCATENATE(SUBSTITUTE(Spotify!J55,",",";"),";",J50)</f>
        <v>;oldies;retro;love;sweet</v>
      </c>
      <c r="L50" s="86"/>
      <c r="M50" s="54" t="str">
        <f>Spotify!B55</f>
        <v>Cheap Thrills</v>
      </c>
      <c r="N50" s="92" t="str">
        <f>Spotify!D55</f>
        <v>Sia</v>
      </c>
      <c r="O50" s="92">
        <f>Spotify!E55</f>
        <v>42664</v>
      </c>
      <c r="P50" s="54">
        <f>ROUND(Spotify!U55,0)</f>
        <v>90</v>
      </c>
      <c r="Q50" s="54">
        <f>ROUND(Spotify!L55*100,0)</f>
        <v>70</v>
      </c>
      <c r="R50" s="54">
        <f>ROUND(Spotify!K55*100,0)</f>
        <v>63</v>
      </c>
      <c r="S50" s="54">
        <f>Spotify!N55</f>
        <v>-5.6079999999999997</v>
      </c>
      <c r="T50" s="54">
        <f>ROUND(Spotify!T55*100,0)</f>
        <v>73</v>
      </c>
      <c r="U50" s="54">
        <f>ROUND(Spotify!F55/60000,1)</f>
        <v>3.5</v>
      </c>
      <c r="V50" s="54">
        <f>ROUND(Spotify!Q55*100,0)</f>
        <v>5</v>
      </c>
      <c r="W50" s="54">
        <f>Spotify!G55</f>
        <v>72</v>
      </c>
    </row>
    <row r="51" spans="1:23" ht="15" x14ac:dyDescent="0.3">
      <c r="A51" s="87">
        <f t="shared" ca="1" si="4"/>
        <v>0.53860954872914735</v>
      </c>
      <c r="B51" s="93"/>
      <c r="C51" s="94" t="s">
        <v>55</v>
      </c>
      <c r="D51" s="95" t="s">
        <v>112</v>
      </c>
      <c r="E51" s="94" t="s">
        <v>113</v>
      </c>
      <c r="F51" s="94"/>
      <c r="G51" s="96">
        <v>1984</v>
      </c>
      <c r="H51" s="94" t="s">
        <v>13</v>
      </c>
      <c r="I51" s="94"/>
      <c r="J51" s="88" t="s">
        <v>1368</v>
      </c>
      <c r="K51" s="90" t="str">
        <f>CONCATENATE(SUBSTITUTE(Spotify!J56,",",";"),";",J51)</f>
        <v>;oldies;retro</v>
      </c>
      <c r="L51" s="86"/>
      <c r="M51" s="54" t="str">
        <f>Spotify!B56</f>
        <v>Chiquitita</v>
      </c>
      <c r="N51" s="92" t="str">
        <f>Spotify!D56</f>
        <v>ABBA</v>
      </c>
      <c r="O51" s="92">
        <f>Spotify!E56</f>
        <v>1979</v>
      </c>
      <c r="P51" s="54">
        <f>ROUND(Spotify!U56,0)</f>
        <v>84</v>
      </c>
      <c r="Q51" s="54">
        <f>ROUND(Spotify!L56*100,0)</f>
        <v>55</v>
      </c>
      <c r="R51" s="54">
        <f>ROUND(Spotify!K56*100,0)</f>
        <v>50</v>
      </c>
      <c r="S51" s="54">
        <f>Spotify!N56</f>
        <v>-8.1080000000000005</v>
      </c>
      <c r="T51" s="54">
        <f>ROUND(Spotify!T56*100,0)</f>
        <v>37</v>
      </c>
      <c r="U51" s="54">
        <f>ROUND(Spotify!F56/60000,1)</f>
        <v>5.4</v>
      </c>
      <c r="V51" s="54">
        <f>ROUND(Spotify!Q56*100,0)</f>
        <v>73</v>
      </c>
      <c r="W51" s="54">
        <f>Spotify!G56</f>
        <v>78</v>
      </c>
    </row>
    <row r="52" spans="1:23" ht="15" x14ac:dyDescent="0.3">
      <c r="A52" s="87">
        <f t="shared" ca="1" si="4"/>
        <v>0.14452932469871549</v>
      </c>
      <c r="B52" s="93" t="s">
        <v>1</v>
      </c>
      <c r="C52" s="94" t="s">
        <v>93</v>
      </c>
      <c r="D52" s="95" t="s">
        <v>114</v>
      </c>
      <c r="E52" s="94" t="s">
        <v>11</v>
      </c>
      <c r="F52" s="94"/>
      <c r="G52" s="96">
        <v>2008</v>
      </c>
      <c r="H52" s="94" t="s">
        <v>12</v>
      </c>
      <c r="I52" s="94" t="s">
        <v>63</v>
      </c>
      <c r="J52" s="88" t="s">
        <v>1385</v>
      </c>
      <c r="K52" s="90" t="str">
        <f>CONCATENATE(SUBSTITUTE(Spotify!J57,",",";"),";",J52)</f>
        <v>;love;alternative</v>
      </c>
      <c r="L52" s="86"/>
      <c r="M52" s="54" t="str">
        <f>Spotify!B57</f>
        <v>Clocks</v>
      </c>
      <c r="N52" s="92" t="str">
        <f>Spotify!D57</f>
        <v>Coldplay</v>
      </c>
      <c r="O52" s="92">
        <f>Spotify!E57</f>
        <v>37495</v>
      </c>
      <c r="P52" s="54">
        <f>ROUND(Spotify!U57,0)</f>
        <v>131</v>
      </c>
      <c r="Q52" s="54">
        <f>ROUND(Spotify!L57*100,0)</f>
        <v>75</v>
      </c>
      <c r="R52" s="54">
        <f>ROUND(Spotify!K57*100,0)</f>
        <v>58</v>
      </c>
      <c r="S52" s="54">
        <f>Spotify!N57</f>
        <v>-7.2149999999999999</v>
      </c>
      <c r="T52" s="54">
        <f>ROUND(Spotify!T57*100,0)</f>
        <v>26</v>
      </c>
      <c r="U52" s="54">
        <f>ROUND(Spotify!F57/60000,1)</f>
        <v>5.0999999999999996</v>
      </c>
      <c r="V52" s="54">
        <f>ROUND(Spotify!Q57*100,0)</f>
        <v>60</v>
      </c>
      <c r="W52" s="54">
        <f>Spotify!G57</f>
        <v>87</v>
      </c>
    </row>
    <row r="53" spans="1:23" ht="15" x14ac:dyDescent="0.3">
      <c r="A53" s="87">
        <f t="shared" ca="1" si="4"/>
        <v>0.4329374029783658</v>
      </c>
      <c r="B53" s="93" t="s">
        <v>1</v>
      </c>
      <c r="C53" s="94" t="s">
        <v>94</v>
      </c>
      <c r="D53" s="95" t="s">
        <v>572</v>
      </c>
      <c r="E53" s="94" t="s">
        <v>115</v>
      </c>
      <c r="F53" s="94"/>
      <c r="G53" s="96">
        <v>2007</v>
      </c>
      <c r="H53" s="94" t="s">
        <v>13</v>
      </c>
      <c r="I53" s="94"/>
      <c r="J53" s="88" t="s">
        <v>1386</v>
      </c>
      <c r="K53" s="90" t="str">
        <f>CONCATENATE(SUBSTITUTE(Spotify!J58,",",";"),";",J53)</f>
        <v>;slow;love</v>
      </c>
      <c r="L53" s="86"/>
      <c r="M53" s="54" t="str">
        <f>Spotify!B58</f>
        <v>Closing Time</v>
      </c>
      <c r="N53" s="92" t="str">
        <f>Spotify!D58</f>
        <v>Semisonic</v>
      </c>
      <c r="O53" s="92">
        <f>Spotify!E58</f>
        <v>37622</v>
      </c>
      <c r="P53" s="54">
        <f>ROUND(Spotify!U58,0)</f>
        <v>92</v>
      </c>
      <c r="Q53" s="54">
        <f>ROUND(Spotify!L58*100,0)</f>
        <v>85</v>
      </c>
      <c r="R53" s="54">
        <f>ROUND(Spotify!K58*100,0)</f>
        <v>48</v>
      </c>
      <c r="S53" s="54">
        <f>Spotify!N58</f>
        <v>-5.4539999999999997</v>
      </c>
      <c r="T53" s="54">
        <f>ROUND(Spotify!T58*100,0)</f>
        <v>27</v>
      </c>
      <c r="U53" s="54">
        <f>ROUND(Spotify!F58/60000,1)</f>
        <v>4.5999999999999996</v>
      </c>
      <c r="V53" s="54">
        <f>ROUND(Spotify!Q58*100,0)</f>
        <v>2</v>
      </c>
      <c r="W53" s="54">
        <f>Spotify!G58</f>
        <v>70</v>
      </c>
    </row>
    <row r="54" spans="1:23" ht="15" x14ac:dyDescent="0.3">
      <c r="A54" s="87">
        <f t="shared" ca="1" si="4"/>
        <v>0.37856893007688586</v>
      </c>
      <c r="B54" s="93" t="s">
        <v>1</v>
      </c>
      <c r="C54" s="94" t="s">
        <v>77</v>
      </c>
      <c r="D54" s="95" t="s">
        <v>116</v>
      </c>
      <c r="E54" s="94" t="s">
        <v>117</v>
      </c>
      <c r="F54" s="94"/>
      <c r="G54" s="96">
        <v>2017</v>
      </c>
      <c r="H54" s="94" t="s">
        <v>118</v>
      </c>
      <c r="I54" s="94"/>
      <c r="J54" s="88" t="s">
        <v>1382</v>
      </c>
      <c r="K54" s="90" t="str">
        <f>CONCATENATE(SUBSTITUTE(Spotify!J59,",",";"),";",J54)</f>
        <v>;groovy;dance;fast</v>
      </c>
      <c r="L54" s="86"/>
      <c r="M54" s="54" t="str">
        <f>Spotify!B59</f>
        <v>Cloud Number Nine</v>
      </c>
      <c r="N54" s="92" t="str">
        <f>Spotify!D59</f>
        <v>Bryan Adams</v>
      </c>
      <c r="O54" s="92">
        <f>Spotify!E59</f>
        <v>35796</v>
      </c>
      <c r="P54" s="54">
        <f>ROUND(Spotify!U59,0)</f>
        <v>110</v>
      </c>
      <c r="Q54" s="54">
        <f>ROUND(Spotify!L59*100,0)</f>
        <v>72</v>
      </c>
      <c r="R54" s="54">
        <f>ROUND(Spotify!K59*100,0)</f>
        <v>59</v>
      </c>
      <c r="S54" s="54">
        <f>Spotify!N59</f>
        <v>-7.1269999999999998</v>
      </c>
      <c r="T54" s="54">
        <f>ROUND(Spotify!T59*100,0)</f>
        <v>62</v>
      </c>
      <c r="U54" s="54">
        <f>ROUND(Spotify!F59/60000,1)</f>
        <v>3.8</v>
      </c>
      <c r="V54" s="54">
        <f>ROUND(Spotify!Q59*100,0)</f>
        <v>6</v>
      </c>
      <c r="W54" s="54">
        <f>Spotify!G59</f>
        <v>53</v>
      </c>
    </row>
    <row r="55" spans="1:23" ht="15" x14ac:dyDescent="0.3">
      <c r="A55" s="87">
        <f t="shared" ca="1" si="4"/>
        <v>0.85207167677220297</v>
      </c>
      <c r="B55" s="93"/>
      <c r="C55" s="94" t="s">
        <v>361</v>
      </c>
      <c r="D55" s="95" t="s">
        <v>562</v>
      </c>
      <c r="E55" s="94" t="s">
        <v>563</v>
      </c>
      <c r="F55" s="94"/>
      <c r="G55" s="96">
        <v>2016</v>
      </c>
      <c r="H55" s="94" t="s">
        <v>13</v>
      </c>
      <c r="I55" s="94"/>
      <c r="J55" s="88" t="s">
        <v>1382</v>
      </c>
      <c r="K55" s="90" t="str">
        <f>CONCATENATE(SUBSTITUTE(Spotify!J60,",",";"),";",J55)</f>
        <v>yacht rock;adult standards;groovy;dance;fast</v>
      </c>
      <c r="L55" s="86"/>
      <c r="M55" s="54" t="str">
        <f>Spotify!B60</f>
        <v>Copacabana (At the Copa)</v>
      </c>
      <c r="N55" s="92" t="str">
        <f>Spotify!D60</f>
        <v>Barry Manilow</v>
      </c>
      <c r="O55" s="92">
        <f>Spotify!E60</f>
        <v>39335</v>
      </c>
      <c r="P55" s="54">
        <f>ROUND(Spotify!U60,0)</f>
        <v>108</v>
      </c>
      <c r="Q55" s="54">
        <f>ROUND(Spotify!L60*100,0)</f>
        <v>67</v>
      </c>
      <c r="R55" s="54">
        <f>ROUND(Spotify!K60*100,0)</f>
        <v>76</v>
      </c>
      <c r="S55" s="54">
        <f>Spotify!N60</f>
        <v>-7.9139999999999997</v>
      </c>
      <c r="T55" s="54">
        <f>ROUND(Spotify!T60*100,0)</f>
        <v>80</v>
      </c>
      <c r="U55" s="54">
        <f>ROUND(Spotify!F60/60000,1)</f>
        <v>4</v>
      </c>
      <c r="V55" s="54">
        <f>ROUND(Spotify!Q60*100,0)</f>
        <v>54</v>
      </c>
      <c r="W55" s="54">
        <f>Spotify!G60</f>
        <v>50</v>
      </c>
    </row>
    <row r="56" spans="1:23" ht="15" x14ac:dyDescent="0.3">
      <c r="A56" s="87">
        <f t="shared" ca="1" si="4"/>
        <v>0.14043572356950618</v>
      </c>
      <c r="B56" s="93" t="s">
        <v>1</v>
      </c>
      <c r="C56" s="94"/>
      <c r="D56" s="95" t="s">
        <v>599</v>
      </c>
      <c r="E56" s="94" t="s">
        <v>138</v>
      </c>
      <c r="F56" s="94"/>
      <c r="G56" s="96">
        <v>1979</v>
      </c>
      <c r="H56" s="94" t="s">
        <v>13</v>
      </c>
      <c r="I56" s="94"/>
      <c r="J56" s="88" t="s">
        <v>1384</v>
      </c>
      <c r="K56" s="90" t="str">
        <f>CONCATENATE(SUBSTITUTE(Spotify!J61,",",";"),";",J56)</f>
        <v>;oldies;retro;love</v>
      </c>
      <c r="L56" s="86"/>
      <c r="M56" s="54" t="str">
        <f>Spotify!B61</f>
        <v>Count on Me</v>
      </c>
      <c r="N56" s="92" t="str">
        <f>Spotify!D61</f>
        <v>Bruno Mars</v>
      </c>
      <c r="O56" s="92">
        <f>Spotify!E61</f>
        <v>40309</v>
      </c>
      <c r="P56" s="54">
        <f>ROUND(Spotify!U61,0)</f>
        <v>89</v>
      </c>
      <c r="Q56" s="54">
        <f>ROUND(Spotify!L61*100,0)</f>
        <v>39</v>
      </c>
      <c r="R56" s="54">
        <f>ROUND(Spotify!K61*100,0)</f>
        <v>59</v>
      </c>
      <c r="S56" s="54">
        <f>Spotify!N61</f>
        <v>-5.9720000000000004</v>
      </c>
      <c r="T56" s="54">
        <f>ROUND(Spotify!T61*100,0)</f>
        <v>50</v>
      </c>
      <c r="U56" s="54">
        <f>ROUND(Spotify!F61/60000,1)</f>
        <v>3.3</v>
      </c>
      <c r="V56" s="54">
        <f>ROUND(Spotify!Q61*100,0)</f>
        <v>85</v>
      </c>
      <c r="W56" s="54">
        <f>Spotify!G61</f>
        <v>81</v>
      </c>
    </row>
    <row r="57" spans="1:23" ht="15" x14ac:dyDescent="0.3">
      <c r="A57" s="87">
        <f t="shared" ca="1" si="4"/>
        <v>0.32355652235267074</v>
      </c>
      <c r="B57" s="93"/>
      <c r="C57" s="94" t="s">
        <v>46</v>
      </c>
      <c r="D57" s="95" t="s">
        <v>574</v>
      </c>
      <c r="E57" s="94" t="s">
        <v>28</v>
      </c>
      <c r="F57" s="94"/>
      <c r="G57" s="96">
        <v>2002</v>
      </c>
      <c r="H57" s="94" t="s">
        <v>12</v>
      </c>
      <c r="I57" s="94" t="s">
        <v>29</v>
      </c>
      <c r="J57" s="88" t="s">
        <v>1371</v>
      </c>
      <c r="K57" s="90" t="str">
        <f>CONCATENATE(SUBSTITUTE(Spotify!J62,",",";"),";",J57)</f>
        <v>soft pop;alternative</v>
      </c>
      <c r="L57" s="86"/>
      <c r="M57" s="54" t="str">
        <f>Spotify!B62</f>
        <v>Counting Stars</v>
      </c>
      <c r="N57" s="92" t="str">
        <f>Spotify!D62</f>
        <v>OneRepublic</v>
      </c>
      <c r="O57" s="92">
        <f>Spotify!E62</f>
        <v>41640</v>
      </c>
      <c r="P57" s="54">
        <f>ROUND(Spotify!U62,0)</f>
        <v>122</v>
      </c>
      <c r="Q57" s="54">
        <f>ROUND(Spotify!L62*100,0)</f>
        <v>71</v>
      </c>
      <c r="R57" s="54">
        <f>ROUND(Spotify!K62*100,0)</f>
        <v>66</v>
      </c>
      <c r="S57" s="54">
        <f>Spotify!N62</f>
        <v>-4.9720000000000004</v>
      </c>
      <c r="T57" s="54">
        <f>ROUND(Spotify!T62*100,0)</f>
        <v>47</v>
      </c>
      <c r="U57" s="54">
        <f>ROUND(Spotify!F62/60000,1)</f>
        <v>4.3</v>
      </c>
      <c r="V57" s="54">
        <f>ROUND(Spotify!Q62*100,0)</f>
        <v>7</v>
      </c>
      <c r="W57" s="54">
        <f>Spotify!G62</f>
        <v>74</v>
      </c>
    </row>
    <row r="58" spans="1:23" ht="15" x14ac:dyDescent="0.3">
      <c r="A58" s="87">
        <f t="shared" ca="1" si="4"/>
        <v>6.0789826661982849E-2</v>
      </c>
      <c r="B58" s="93" t="s">
        <v>1</v>
      </c>
      <c r="C58" s="94" t="s">
        <v>14</v>
      </c>
      <c r="D58" s="95" t="s">
        <v>119</v>
      </c>
      <c r="E58" s="94" t="s">
        <v>120</v>
      </c>
      <c r="F58" s="94"/>
      <c r="G58" s="96">
        <v>1998</v>
      </c>
      <c r="H58" s="94" t="s">
        <v>12</v>
      </c>
      <c r="I58" s="94"/>
      <c r="J58" s="88" t="s">
        <v>1371</v>
      </c>
      <c r="K58" s="90" t="str">
        <f>CONCATENATE(SUBSTITUTE(Spotify!J63,",",";"),";",J58)</f>
        <v>folk;alternative</v>
      </c>
      <c r="L58" s="86"/>
      <c r="M58" s="54" t="str">
        <f>Spotify!B63</f>
        <v>Take Me Home, Country Roads - Original Version</v>
      </c>
      <c r="N58" s="92" t="str">
        <f>Spotify!D63</f>
        <v>John Denver</v>
      </c>
      <c r="O58" s="92">
        <f>Spotify!E63</f>
        <v>1971</v>
      </c>
      <c r="P58" s="54">
        <f>ROUND(Spotify!U63,0)</f>
        <v>82</v>
      </c>
      <c r="Q58" s="54">
        <f>ROUND(Spotify!L63*100,0)</f>
        <v>40</v>
      </c>
      <c r="R58" s="54">
        <f>ROUND(Spotify!K63*100,0)</f>
        <v>46</v>
      </c>
      <c r="S58" s="54">
        <f>Spotify!N63</f>
        <v>-9.3759999999999994</v>
      </c>
      <c r="T58" s="54">
        <f>ROUND(Spotify!T63*100,0)</f>
        <v>63</v>
      </c>
      <c r="U58" s="54">
        <f>ROUND(Spotify!F63/60000,1)</f>
        <v>3.2</v>
      </c>
      <c r="V58" s="54">
        <f>ROUND(Spotify!Q63*100,0)</f>
        <v>76</v>
      </c>
      <c r="W58" s="54">
        <f>Spotify!G63</f>
        <v>79</v>
      </c>
    </row>
    <row r="59" spans="1:23" ht="15" x14ac:dyDescent="0.3">
      <c r="A59" s="87">
        <f t="shared" ca="1" si="4"/>
        <v>0.483415309001896</v>
      </c>
      <c r="B59" s="99"/>
      <c r="C59" s="97"/>
      <c r="D59" s="89" t="s">
        <v>121</v>
      </c>
      <c r="E59" s="97" t="s">
        <v>122</v>
      </c>
      <c r="F59" s="97"/>
      <c r="G59" s="98">
        <v>1999</v>
      </c>
      <c r="H59" s="97" t="s">
        <v>13</v>
      </c>
      <c r="I59" s="97"/>
      <c r="J59" s="90" t="s">
        <v>1552</v>
      </c>
      <c r="K59" s="90" t="str">
        <f>CONCATENATE(SUBSTITUTE(Spotify!J64,",",";"),";",J59)</f>
        <v>;love;dance;sweet;groovy</v>
      </c>
      <c r="L59" s="86"/>
      <c r="M59" s="54" t="str">
        <f>Spotify!B64</f>
        <v>Crazy</v>
      </c>
      <c r="N59" s="92" t="str">
        <f>Spotify!D64</f>
        <v>Gnarls Barkley</v>
      </c>
      <c r="O59" s="92">
        <f>Spotify!E64</f>
        <v>38839</v>
      </c>
      <c r="P59" s="54">
        <f>ROUND(Spotify!U64,0)</f>
        <v>112</v>
      </c>
      <c r="Q59" s="54">
        <f>ROUND(Spotify!L64*100,0)</f>
        <v>74</v>
      </c>
      <c r="R59" s="54">
        <f>ROUND(Spotify!K64*100,0)</f>
        <v>84</v>
      </c>
      <c r="S59" s="54">
        <f>Spotify!N64</f>
        <v>-1.609</v>
      </c>
      <c r="T59" s="54">
        <f>ROUND(Spotify!T64*100,0)</f>
        <v>61</v>
      </c>
      <c r="U59" s="54">
        <f>ROUND(Spotify!F64/60000,1)</f>
        <v>3</v>
      </c>
      <c r="V59" s="54">
        <f>ROUND(Spotify!Q64*100,0)</f>
        <v>2</v>
      </c>
      <c r="W59" s="54">
        <f>Spotify!G64</f>
        <v>4</v>
      </c>
    </row>
    <row r="60" spans="1:23" ht="15" x14ac:dyDescent="0.3">
      <c r="A60" s="87">
        <f t="shared" ca="1" si="4"/>
        <v>0.92518896419288998</v>
      </c>
      <c r="B60" s="93" t="s">
        <v>1</v>
      </c>
      <c r="C60" s="94" t="s">
        <v>10</v>
      </c>
      <c r="D60" s="95" t="s">
        <v>637</v>
      </c>
      <c r="E60" s="94" t="s">
        <v>638</v>
      </c>
      <c r="F60" s="94"/>
      <c r="G60" s="96">
        <v>1978</v>
      </c>
      <c r="H60" s="94" t="s">
        <v>118</v>
      </c>
      <c r="I60" s="94"/>
      <c r="J60" s="88" t="s">
        <v>1444</v>
      </c>
      <c r="K60" s="90" t="str">
        <f>CONCATENATE(SUBSTITUTE(Spotify!J65,",",";"),";",J60)</f>
        <v>classic rock;rock;glam rock;acoustic;love;dance;groovy;oldies;retro</v>
      </c>
      <c r="L60" s="86"/>
      <c r="M60" s="54" t="str">
        <f>Spotify!B65</f>
        <v>Crazy Little Thing Called Love</v>
      </c>
      <c r="N60" s="92" t="str">
        <f>Spotify!D65</f>
        <v>Queen</v>
      </c>
      <c r="O60" s="92">
        <f>Spotify!E65</f>
        <v>29399</v>
      </c>
      <c r="P60" s="54">
        <f>ROUND(Spotify!U65,0)</f>
        <v>77</v>
      </c>
      <c r="Q60" s="54">
        <f>ROUND(Spotify!L65*100,0)</f>
        <v>57</v>
      </c>
      <c r="R60" s="54">
        <f>ROUND(Spotify!K65*100,0)</f>
        <v>63</v>
      </c>
      <c r="S60" s="54">
        <f>Spotify!N65</f>
        <v>-13.452999999999999</v>
      </c>
      <c r="T60" s="54">
        <f>ROUND(Spotify!T65*100,0)</f>
        <v>75</v>
      </c>
      <c r="U60" s="54">
        <f>ROUND(Spotify!F65/60000,1)</f>
        <v>2.7</v>
      </c>
      <c r="V60" s="54">
        <f>ROUND(Spotify!Q65*100,0)</f>
        <v>50</v>
      </c>
      <c r="W60" s="54">
        <f>Spotify!G65</f>
        <v>0</v>
      </c>
    </row>
    <row r="61" spans="1:23" ht="15" x14ac:dyDescent="0.3">
      <c r="A61" s="87">
        <f t="shared" ca="1" si="4"/>
        <v>0.57047292869638533</v>
      </c>
      <c r="B61" s="93"/>
      <c r="C61" s="94" t="s">
        <v>37</v>
      </c>
      <c r="D61" s="95" t="s">
        <v>125</v>
      </c>
      <c r="E61" s="94" t="s">
        <v>126</v>
      </c>
      <c r="F61" s="94"/>
      <c r="G61" s="96">
        <v>2010</v>
      </c>
      <c r="H61" s="94" t="s">
        <v>13</v>
      </c>
      <c r="I61" s="94"/>
      <c r="J61" s="88" t="s">
        <v>1551</v>
      </c>
      <c r="K61" s="90" t="str">
        <f>CONCATENATE(SUBSTITUTE(Spotify!J66,",",";"),";",J61)</f>
        <v>;groovy;acoustic;love;fast;sweet</v>
      </c>
      <c r="L61" s="86"/>
      <c r="M61" s="54" t="str">
        <f>Spotify!B66</f>
        <v>Dance with Me Tonight</v>
      </c>
      <c r="N61" s="92" t="str">
        <f>Spotify!D66</f>
        <v>Olly Murs</v>
      </c>
      <c r="O61" s="92">
        <f>Spotify!E66</f>
        <v>40875</v>
      </c>
      <c r="P61" s="54">
        <f>ROUND(Spotify!U66,0)</f>
        <v>164</v>
      </c>
      <c r="Q61" s="54">
        <f>ROUND(Spotify!L66*100,0)</f>
        <v>75</v>
      </c>
      <c r="R61" s="54">
        <f>ROUND(Spotify!K66*100,0)</f>
        <v>67</v>
      </c>
      <c r="S61" s="54">
        <f>Spotify!N66</f>
        <v>-5.9219999999999997</v>
      </c>
      <c r="T61" s="54">
        <f>ROUND(Spotify!T66*100,0)</f>
        <v>96</v>
      </c>
      <c r="U61" s="54">
        <f>ROUND(Spotify!F66/60000,1)</f>
        <v>3.4</v>
      </c>
      <c r="V61" s="54">
        <f>ROUND(Spotify!Q66*100,0)</f>
        <v>31</v>
      </c>
      <c r="W61" s="54">
        <f>Spotify!G66</f>
        <v>67</v>
      </c>
    </row>
    <row r="62" spans="1:23" ht="15" x14ac:dyDescent="0.3">
      <c r="A62" s="87"/>
      <c r="B62" s="93"/>
      <c r="C62" s="94"/>
      <c r="D62" s="95" t="s">
        <v>1675</v>
      </c>
      <c r="E62" s="94" t="s">
        <v>1677</v>
      </c>
      <c r="F62" s="94"/>
      <c r="G62" s="96">
        <v>2013</v>
      </c>
      <c r="H62" s="94" t="s">
        <v>13</v>
      </c>
      <c r="I62" s="94"/>
      <c r="J62" s="88"/>
      <c r="K62" s="90" t="str">
        <f>CONCATENATE(SUBSTITUTE(Spotify!J67,",",";"),";",J62)</f>
        <v>;</v>
      </c>
      <c r="L62" s="86"/>
      <c r="M62" s="54" t="str">
        <f>Spotify!B67</f>
        <v>Dancing in the Moonlight</v>
      </c>
      <c r="N62" s="92" t="str">
        <f>Spotify!D67</f>
        <v>Toploader</v>
      </c>
      <c r="O62" s="92">
        <f>Spotify!E67</f>
        <v>2000</v>
      </c>
      <c r="P62" s="54">
        <f>ROUND(Spotify!U67,0)</f>
        <v>119</v>
      </c>
      <c r="Q62" s="54">
        <f>ROUND(Spotify!L67*100,0)</f>
        <v>86</v>
      </c>
      <c r="R62" s="54">
        <f>ROUND(Spotify!K67*100,0)</f>
        <v>63</v>
      </c>
      <c r="S62" s="54">
        <f>Spotify!N67</f>
        <v>-3.4630000000000001</v>
      </c>
      <c r="T62" s="54">
        <f>ROUND(Spotify!T67*100,0)</f>
        <v>87</v>
      </c>
      <c r="U62" s="54">
        <f>ROUND(Spotify!F67/60000,1)</f>
        <v>3.9</v>
      </c>
      <c r="V62" s="54">
        <f>ROUND(Spotify!Q67*100,0)</f>
        <v>6</v>
      </c>
      <c r="W62" s="54">
        <f>Spotify!G67</f>
        <v>80</v>
      </c>
    </row>
    <row r="63" spans="1:23" s="53" customFormat="1" ht="15" x14ac:dyDescent="0.3">
      <c r="A63" s="87">
        <f t="shared" ref="A63:A75" ca="1" si="5">RAND()</f>
        <v>0.23480399399046148</v>
      </c>
      <c r="B63" s="93"/>
      <c r="C63" s="94" t="s">
        <v>46</v>
      </c>
      <c r="D63" s="95" t="s">
        <v>128</v>
      </c>
      <c r="E63" s="94" t="s">
        <v>53</v>
      </c>
      <c r="F63" s="94"/>
      <c r="G63" s="96">
        <v>1971</v>
      </c>
      <c r="H63" s="94" t="s">
        <v>49</v>
      </c>
      <c r="I63" s="94"/>
      <c r="J63" s="88" t="s">
        <v>1388</v>
      </c>
      <c r="K63" s="90" t="str">
        <f>CONCATENATE(SUBSTITUTE(Spotify!J68,",",";"),";",J63)</f>
        <v>;oldies;retro;groovy</v>
      </c>
      <c r="L63" s="86"/>
      <c r="M63" s="54" t="str">
        <f>Spotify!B68</f>
        <v>Dancing Queen</v>
      </c>
      <c r="N63" s="92" t="str">
        <f>Spotify!D68</f>
        <v>ABBA</v>
      </c>
      <c r="O63" s="92">
        <f>Spotify!E68</f>
        <v>1976</v>
      </c>
      <c r="P63" s="54">
        <f>ROUND(Spotify!U68,0)</f>
        <v>101</v>
      </c>
      <c r="Q63" s="54">
        <f>ROUND(Spotify!L68*100,0)</f>
        <v>87</v>
      </c>
      <c r="R63" s="54">
        <f>ROUND(Spotify!K68*100,0)</f>
        <v>54</v>
      </c>
      <c r="S63" s="54">
        <f>Spotify!N68</f>
        <v>-6.5140000000000002</v>
      </c>
      <c r="T63" s="54">
        <f>ROUND(Spotify!T68*100,0)</f>
        <v>75</v>
      </c>
      <c r="U63" s="54">
        <f>ROUND(Spotify!F68/60000,1)</f>
        <v>3.8</v>
      </c>
      <c r="V63" s="54">
        <f>ROUND(Spotify!Q68*100,0)</f>
        <v>36</v>
      </c>
      <c r="W63" s="54">
        <f>Spotify!G68</f>
        <v>87</v>
      </c>
    </row>
    <row r="64" spans="1:23" s="53" customFormat="1" ht="15" x14ac:dyDescent="0.3">
      <c r="A64" s="87">
        <f t="shared" ca="1" si="5"/>
        <v>0.72997314517841427</v>
      </c>
      <c r="B64" s="99"/>
      <c r="C64" s="97" t="s">
        <v>10</v>
      </c>
      <c r="D64" s="89" t="s">
        <v>129</v>
      </c>
      <c r="E64" s="97" t="s">
        <v>130</v>
      </c>
      <c r="F64" s="97"/>
      <c r="G64" s="98">
        <v>2006</v>
      </c>
      <c r="H64" s="97" t="s">
        <v>76</v>
      </c>
      <c r="I64" s="97"/>
      <c r="J64" s="88" t="s">
        <v>1389</v>
      </c>
      <c r="K64" s="90" t="str">
        <f>CONCATENATE(SUBSTITUTE(Spotify!J69,",",";"),";",J64)</f>
        <v>singer-songwriter;alternative;groovy</v>
      </c>
      <c r="L64" s="86"/>
      <c r="M64" s="54" t="str">
        <f>Spotify!B69</f>
        <v>Daughters</v>
      </c>
      <c r="N64" s="92" t="str">
        <f>Spotify!D69</f>
        <v>John Mayer</v>
      </c>
      <c r="O64" s="92">
        <f>Spotify!E69</f>
        <v>37873</v>
      </c>
      <c r="P64" s="54">
        <f>ROUND(Spotify!U69,0)</f>
        <v>125</v>
      </c>
      <c r="Q64" s="54">
        <f>ROUND(Spotify!L69*100,0)</f>
        <v>41</v>
      </c>
      <c r="R64" s="54">
        <f>ROUND(Spotify!K69*100,0)</f>
        <v>67</v>
      </c>
      <c r="S64" s="54">
        <f>Spotify!N69</f>
        <v>-7.8159999999999998</v>
      </c>
      <c r="T64" s="54">
        <f>ROUND(Spotify!T69*100,0)</f>
        <v>50</v>
      </c>
      <c r="U64" s="54">
        <f>ROUND(Spotify!F69/60000,1)</f>
        <v>4</v>
      </c>
      <c r="V64" s="54">
        <f>ROUND(Spotify!Q69*100,0)</f>
        <v>84</v>
      </c>
      <c r="W64" s="54">
        <f>Spotify!G69</f>
        <v>67</v>
      </c>
    </row>
    <row r="65" spans="1:23" s="53" customFormat="1" ht="15" x14ac:dyDescent="0.3">
      <c r="A65" s="87">
        <f t="shared" ca="1" si="5"/>
        <v>0.52465551435721558</v>
      </c>
      <c r="B65" s="93"/>
      <c r="C65" s="94" t="s">
        <v>37</v>
      </c>
      <c r="D65" s="95" t="s">
        <v>131</v>
      </c>
      <c r="E65" s="94" t="s">
        <v>132</v>
      </c>
      <c r="F65" s="94"/>
      <c r="G65" s="96">
        <v>1979</v>
      </c>
      <c r="H65" s="94" t="s">
        <v>12</v>
      </c>
      <c r="I65" s="94"/>
      <c r="J65" s="88" t="s">
        <v>1403</v>
      </c>
      <c r="K65" s="90" t="str">
        <f>CONCATENATE(SUBSTITUTE(Spotify!J70,",",";"),";",J65)</f>
        <v>;groovy;dance;fast;oldies;retro</v>
      </c>
      <c r="L65" s="86"/>
      <c r="M65" s="54" t="str">
        <f>Spotify!B70</f>
        <v>Dear Future Husband</v>
      </c>
      <c r="N65" s="92" t="str">
        <f>Spotify!D70</f>
        <v>Meghan Trainor</v>
      </c>
      <c r="O65" s="92">
        <f>Spotify!E70</f>
        <v>42016</v>
      </c>
      <c r="P65" s="54">
        <f>ROUND(Spotify!U70,0)</f>
        <v>79</v>
      </c>
      <c r="Q65" s="54">
        <f>ROUND(Spotify!L70*100,0)</f>
        <v>78</v>
      </c>
      <c r="R65" s="54">
        <f>ROUND(Spotify!K70*100,0)</f>
        <v>66</v>
      </c>
      <c r="S65" s="54">
        <f>Spotify!N70</f>
        <v>-4.7889999999999997</v>
      </c>
      <c r="T65" s="54">
        <f>ROUND(Spotify!T70*100,0)</f>
        <v>83</v>
      </c>
      <c r="U65" s="54">
        <f>ROUND(Spotify!F70/60000,1)</f>
        <v>3.1</v>
      </c>
      <c r="V65" s="54">
        <f>ROUND(Spotify!Q70*100,0)</f>
        <v>38</v>
      </c>
      <c r="W65" s="54">
        <f>Spotify!G70</f>
        <v>70</v>
      </c>
    </row>
    <row r="66" spans="1:23" s="53" customFormat="1" ht="15" x14ac:dyDescent="0.3">
      <c r="A66" s="87">
        <f t="shared" ca="1" si="5"/>
        <v>0.39090475047541906</v>
      </c>
      <c r="B66" s="93"/>
      <c r="C66" s="101" t="s">
        <v>93</v>
      </c>
      <c r="D66" s="95" t="s">
        <v>133</v>
      </c>
      <c r="E66" s="94" t="s">
        <v>134</v>
      </c>
      <c r="F66" s="94"/>
      <c r="G66" s="96">
        <v>2011</v>
      </c>
      <c r="H66" s="94" t="s">
        <v>13</v>
      </c>
      <c r="I66" s="94"/>
      <c r="J66" s="88" t="s">
        <v>1554</v>
      </c>
      <c r="K66" s="90" t="e">
        <f>CONCATENATE(SUBSTITUTE(Spotify!#REF!,",",";"),";",J66)</f>
        <v>#REF!</v>
      </c>
      <c r="L66" s="86"/>
      <c r="M66" s="54" t="e">
        <f>Spotify!#REF!</f>
        <v>#REF!</v>
      </c>
      <c r="N66" s="92" t="e">
        <f>Spotify!#REF!</f>
        <v>#REF!</v>
      </c>
      <c r="O66" s="92" t="e">
        <f>Spotify!#REF!</f>
        <v>#REF!</v>
      </c>
      <c r="P66" s="54" t="e">
        <f>ROUND(Spotify!#REF!,0)</f>
        <v>#REF!</v>
      </c>
      <c r="Q66" s="54" t="e">
        <f>ROUND(Spotify!#REF!*100,0)</f>
        <v>#REF!</v>
      </c>
      <c r="R66" s="54" t="e">
        <f>ROUND(Spotify!#REF!*100,0)</f>
        <v>#REF!</v>
      </c>
      <c r="S66" s="54" t="e">
        <f>Spotify!#REF!</f>
        <v>#REF!</v>
      </c>
      <c r="T66" s="54" t="e">
        <f>ROUND(Spotify!#REF!*100,0)</f>
        <v>#REF!</v>
      </c>
      <c r="U66" s="54" t="e">
        <f>ROUND(Spotify!#REF!/60000,1)</f>
        <v>#REF!</v>
      </c>
      <c r="V66" s="54" t="e">
        <f>ROUND(Spotify!#REF!*100,0)</f>
        <v>#REF!</v>
      </c>
      <c r="W66" s="54" t="e">
        <f>Spotify!#REF!</f>
        <v>#REF!</v>
      </c>
    </row>
    <row r="67" spans="1:23" s="53" customFormat="1" ht="15" x14ac:dyDescent="0.3">
      <c r="A67" s="87">
        <f t="shared" ca="1" si="5"/>
        <v>0.75297597632927293</v>
      </c>
      <c r="B67" s="93"/>
      <c r="C67" s="94" t="s">
        <v>93</v>
      </c>
      <c r="D67" s="95" t="s">
        <v>135</v>
      </c>
      <c r="E67" s="94" t="s">
        <v>136</v>
      </c>
      <c r="F67" s="94"/>
      <c r="G67" s="96">
        <v>1999</v>
      </c>
      <c r="H67" s="94" t="s">
        <v>13</v>
      </c>
      <c r="I67" s="94"/>
      <c r="J67" s="88" t="s">
        <v>1391</v>
      </c>
      <c r="K67" s="90" t="str">
        <f>CONCATENATE(SUBSTITUTE(Spotify!J71,",",";"),";",J67)</f>
        <v>indie folk;folk;newgrass;americana;bluegrass;alt country;folk rock;groovy;dance</v>
      </c>
      <c r="L67" s="86"/>
      <c r="M67" s="54" t="str">
        <f>Spotify!B71</f>
        <v>Die Die Die</v>
      </c>
      <c r="N67" s="92" t="str">
        <f>Spotify!D71</f>
        <v>The Avett Brothers</v>
      </c>
      <c r="O67" s="92">
        <f>Spotify!E71</f>
        <v>39217</v>
      </c>
      <c r="P67" s="54">
        <f>ROUND(Spotify!U71,0)</f>
        <v>119</v>
      </c>
      <c r="Q67" s="54">
        <f>ROUND(Spotify!L71*100,0)</f>
        <v>70</v>
      </c>
      <c r="R67" s="54">
        <f>ROUND(Spotify!K71*100,0)</f>
        <v>53</v>
      </c>
      <c r="S67" s="54">
        <f>Spotify!N71</f>
        <v>-5.3090000000000002</v>
      </c>
      <c r="T67" s="54">
        <f>ROUND(Spotify!T71*100,0)</f>
        <v>77</v>
      </c>
      <c r="U67" s="54">
        <f>ROUND(Spotify!F71/60000,1)</f>
        <v>2.8</v>
      </c>
      <c r="V67" s="54">
        <f>ROUND(Spotify!Q71*100,0)</f>
        <v>13</v>
      </c>
      <c r="W67" s="54">
        <f>Spotify!G71</f>
        <v>36</v>
      </c>
    </row>
    <row r="68" spans="1:23" ht="15" x14ac:dyDescent="0.3">
      <c r="A68" s="87">
        <f t="shared" ca="1" si="5"/>
        <v>2.0861481284697558E-2</v>
      </c>
      <c r="B68" s="93"/>
      <c r="C68" s="94"/>
      <c r="D68" s="89" t="s">
        <v>137</v>
      </c>
      <c r="E68" s="94" t="s">
        <v>138</v>
      </c>
      <c r="F68" s="94"/>
      <c r="G68" s="96">
        <v>1976</v>
      </c>
      <c r="H68" s="94" t="s">
        <v>13</v>
      </c>
      <c r="I68" s="94"/>
      <c r="J68" s="88" t="s">
        <v>1550</v>
      </c>
      <c r="K68" s="90" t="str">
        <f>CONCATENATE(SUBSTITUTE(Spotify!J72,",",";"),";",J68)</f>
        <v>;groovy;dance;jive;oldies;retro;fast</v>
      </c>
      <c r="L68" s="86"/>
      <c r="M68" s="54" t="str">
        <f>Spotify!B72</f>
        <v>Does Your Mother Know</v>
      </c>
      <c r="N68" s="92" t="str">
        <f>Spotify!D72</f>
        <v>ABBA</v>
      </c>
      <c r="O68" s="92">
        <f>Spotify!E72</f>
        <v>1979</v>
      </c>
      <c r="P68" s="54">
        <f>ROUND(Spotify!U72,0)</f>
        <v>136</v>
      </c>
      <c r="Q68" s="54">
        <f>ROUND(Spotify!L72*100,0)</f>
        <v>87</v>
      </c>
      <c r="R68" s="54">
        <f>ROUND(Spotify!K72*100,0)</f>
        <v>73</v>
      </c>
      <c r="S68" s="54">
        <f>Spotify!N72</f>
        <v>-5.68</v>
      </c>
      <c r="T68" s="54">
        <f>ROUND(Spotify!T72*100,0)</f>
        <v>98</v>
      </c>
      <c r="U68" s="54">
        <f>ROUND(Spotify!F72/60000,1)</f>
        <v>3.2</v>
      </c>
      <c r="V68" s="54">
        <f>ROUND(Spotify!Q72*100,0)</f>
        <v>15</v>
      </c>
      <c r="W68" s="54">
        <f>Spotify!G72</f>
        <v>69</v>
      </c>
    </row>
    <row r="69" spans="1:23" ht="15" x14ac:dyDescent="0.3">
      <c r="A69" s="87">
        <f t="shared" ca="1" si="5"/>
        <v>1.3149262324607669E-3</v>
      </c>
      <c r="B69" s="93" t="s">
        <v>1</v>
      </c>
      <c r="C69" s="94" t="s">
        <v>37</v>
      </c>
      <c r="D69" s="95" t="s">
        <v>139</v>
      </c>
      <c r="E69" s="94" t="s">
        <v>140</v>
      </c>
      <c r="F69" s="94"/>
      <c r="G69" s="96">
        <v>2004</v>
      </c>
      <c r="H69" s="94" t="s">
        <v>12</v>
      </c>
      <c r="I69" s="94" t="s">
        <v>141</v>
      </c>
      <c r="J69" s="88" t="s">
        <v>1393</v>
      </c>
      <c r="K69" s="90" t="str">
        <f>CONCATENATE(SUBSTITUTE(Spotify!J73,",",";"),";",J69)</f>
        <v>classic country;groovy;slow;alternative</v>
      </c>
      <c r="L69" s="86"/>
      <c r="M69" s="54" t="str">
        <f>Spotify!B73</f>
        <v>Don't It Make My Brown Eyes Blue</v>
      </c>
      <c r="N69" s="92" t="str">
        <f>Spotify!D73</f>
        <v>Crystal Gayle</v>
      </c>
      <c r="O69" s="92">
        <f>Spotify!E73</f>
        <v>28126</v>
      </c>
      <c r="P69" s="54">
        <f>ROUND(Spotify!U73,0)</f>
        <v>85</v>
      </c>
      <c r="Q69" s="54">
        <f>ROUND(Spotify!L73*100,0)</f>
        <v>32</v>
      </c>
      <c r="R69" s="54">
        <f>ROUND(Spotify!K73*100,0)</f>
        <v>74</v>
      </c>
      <c r="S69" s="54">
        <f>Spotify!N73</f>
        <v>-13.474</v>
      </c>
      <c r="T69" s="54">
        <f>ROUND(Spotify!T73*100,0)</f>
        <v>34</v>
      </c>
      <c r="U69" s="54">
        <f>ROUND(Spotify!F73/60000,1)</f>
        <v>2.6</v>
      </c>
      <c r="V69" s="54">
        <f>ROUND(Spotify!Q73*100,0)</f>
        <v>80</v>
      </c>
      <c r="W69" s="54">
        <f>Spotify!G73</f>
        <v>61</v>
      </c>
    </row>
    <row r="70" spans="1:23" ht="15" x14ac:dyDescent="0.3">
      <c r="A70" s="87">
        <f t="shared" ca="1" si="5"/>
        <v>0.23398905777577039</v>
      </c>
      <c r="B70" s="93" t="s">
        <v>1</v>
      </c>
      <c r="C70" s="94"/>
      <c r="D70" s="100" t="s">
        <v>544</v>
      </c>
      <c r="E70" s="94" t="s">
        <v>84</v>
      </c>
      <c r="F70" s="94"/>
      <c r="G70" s="96">
        <v>2014</v>
      </c>
      <c r="H70" s="94" t="s">
        <v>13</v>
      </c>
      <c r="I70" s="94"/>
      <c r="J70" s="88" t="s">
        <v>1532</v>
      </c>
      <c r="K70" s="90" t="str">
        <f>CONCATENATE(SUBSTITUTE(Spotify!J74,",",";"),";",J70)</f>
        <v>jazz pop;dance;groovy;love;sweet</v>
      </c>
      <c r="L70" s="86"/>
      <c r="M70" s="54" t="str">
        <f>Spotify!B74</f>
        <v>Don't Know Why</v>
      </c>
      <c r="N70" s="92" t="str">
        <f>Spotify!D74</f>
        <v>Norah Jones</v>
      </c>
      <c r="O70" s="92">
        <f>Spotify!E74</f>
        <v>37313</v>
      </c>
      <c r="P70" s="54">
        <f>ROUND(Spotify!U74,0)</f>
        <v>89</v>
      </c>
      <c r="Q70" s="54">
        <f>ROUND(Spotify!L74*100,0)</f>
        <v>22</v>
      </c>
      <c r="R70" s="54">
        <f>ROUND(Spotify!K74*100,0)</f>
        <v>75</v>
      </c>
      <c r="S70" s="54">
        <f>Spotify!N74</f>
        <v>-11.215999999999999</v>
      </c>
      <c r="T70" s="54">
        <f>ROUND(Spotify!T74*100,0)</f>
        <v>64</v>
      </c>
      <c r="U70" s="54">
        <f>ROUND(Spotify!F74/60000,1)</f>
        <v>3.1</v>
      </c>
      <c r="V70" s="54">
        <f>ROUND(Spotify!Q74*100,0)</f>
        <v>85</v>
      </c>
      <c r="W70" s="54">
        <f>Spotify!G74</f>
        <v>79</v>
      </c>
    </row>
    <row r="71" spans="1:23" ht="15" x14ac:dyDescent="0.3">
      <c r="A71" s="87">
        <f t="shared" ca="1" si="5"/>
        <v>0.17438869375490884</v>
      </c>
      <c r="B71" s="93" t="s">
        <v>1</v>
      </c>
      <c r="C71" s="94" t="s">
        <v>46</v>
      </c>
      <c r="D71" s="95" t="s">
        <v>568</v>
      </c>
      <c r="E71" s="94" t="s">
        <v>143</v>
      </c>
      <c r="F71" s="94"/>
      <c r="G71" s="96">
        <v>2007</v>
      </c>
      <c r="H71" s="94" t="s">
        <v>63</v>
      </c>
      <c r="I71" s="94" t="s">
        <v>12</v>
      </c>
      <c r="J71" s="88" t="s">
        <v>1504</v>
      </c>
      <c r="K71" s="90" t="str">
        <f>CONCATENATE(SUBSTITUTE(Spotify!J75,",",";"),";",J71)</f>
        <v>britpop;madchester;alternative;groovy;acoustic</v>
      </c>
      <c r="L71" s="86"/>
      <c r="M71" s="54" t="str">
        <f>Spotify!B75</f>
        <v>Don't Look Back In Anger</v>
      </c>
      <c r="N71" s="92" t="str">
        <f>Spotify!D75</f>
        <v>Oasis</v>
      </c>
      <c r="O71" s="92">
        <f>Spotify!E75</f>
        <v>34974</v>
      </c>
      <c r="P71" s="54">
        <f>ROUND(Spotify!U75,0)</f>
        <v>164</v>
      </c>
      <c r="Q71" s="54">
        <f>ROUND(Spotify!L75*100,0)</f>
        <v>92</v>
      </c>
      <c r="R71" s="54">
        <f>ROUND(Spotify!K75*100,0)</f>
        <v>35</v>
      </c>
      <c r="S71" s="54">
        <f>Spotify!N75</f>
        <v>-3.645</v>
      </c>
      <c r="T71" s="54">
        <f>ROUND(Spotify!T75*100,0)</f>
        <v>21</v>
      </c>
      <c r="U71" s="54">
        <f>ROUND(Spotify!F75/60000,1)</f>
        <v>4.8</v>
      </c>
      <c r="V71" s="54">
        <f>ROUND(Spotify!Q75*100,0)</f>
        <v>3</v>
      </c>
      <c r="W71" s="54">
        <f>Spotify!G75</f>
        <v>74</v>
      </c>
    </row>
    <row r="72" spans="1:23" ht="15" x14ac:dyDescent="0.3">
      <c r="A72" s="87">
        <f t="shared" ca="1" si="5"/>
        <v>0.71876450455707175</v>
      </c>
      <c r="B72" s="93"/>
      <c r="C72" s="94" t="s">
        <v>46</v>
      </c>
      <c r="D72" s="89" t="s">
        <v>144</v>
      </c>
      <c r="E72" s="94" t="s">
        <v>138</v>
      </c>
      <c r="F72" s="94"/>
      <c r="G72" s="96">
        <v>1979</v>
      </c>
      <c r="H72" s="94" t="s">
        <v>13</v>
      </c>
      <c r="I72" s="94"/>
      <c r="J72" s="88" t="s">
        <v>1445</v>
      </c>
      <c r="K72" s="90" t="str">
        <f>CONCATENATE(SUBSTITUTE(Spotify!J76,",",";"),";",J72)</f>
        <v>classic rock;rock;glam rock;dance;fast;love;groovy;oldies;retro</v>
      </c>
      <c r="L72" s="86"/>
      <c r="M72" s="54" t="str">
        <f>Spotify!B76</f>
        <v>Don't Stop Me Now</v>
      </c>
      <c r="N72" s="92" t="str">
        <f>Spotify!D76</f>
        <v>Queen</v>
      </c>
      <c r="O72" s="92">
        <f>Spotify!E76</f>
        <v>28804</v>
      </c>
      <c r="P72" s="54">
        <f>ROUND(Spotify!U76,0)</f>
        <v>156</v>
      </c>
      <c r="Q72" s="54">
        <f>ROUND(Spotify!L76*100,0)</f>
        <v>76</v>
      </c>
      <c r="R72" s="54">
        <f>ROUND(Spotify!K76*100,0)</f>
        <v>56</v>
      </c>
      <c r="S72" s="54">
        <f>Spotify!N76</f>
        <v>-10.061</v>
      </c>
      <c r="T72" s="54">
        <f>ROUND(Spotify!T76*100,0)</f>
        <v>64</v>
      </c>
      <c r="U72" s="54">
        <f>ROUND(Spotify!F76/60000,1)</f>
        <v>3.5</v>
      </c>
      <c r="V72" s="54">
        <f>ROUND(Spotify!Q76*100,0)</f>
        <v>6</v>
      </c>
      <c r="W72" s="54">
        <f>Spotify!G76</f>
        <v>2</v>
      </c>
    </row>
    <row r="73" spans="1:23" ht="15" x14ac:dyDescent="0.3">
      <c r="A73" s="87">
        <f t="shared" ca="1" si="5"/>
        <v>0.34729558026742768</v>
      </c>
      <c r="B73" s="93" t="s">
        <v>1</v>
      </c>
      <c r="C73" s="94" t="s">
        <v>145</v>
      </c>
      <c r="D73" s="95" t="s">
        <v>146</v>
      </c>
      <c r="E73" s="94" t="s">
        <v>147</v>
      </c>
      <c r="F73" s="94"/>
      <c r="G73" s="96">
        <v>1977</v>
      </c>
      <c r="H73" s="94" t="s">
        <v>59</v>
      </c>
      <c r="I73" s="94" t="s">
        <v>49</v>
      </c>
      <c r="J73" s="88" t="s">
        <v>1446</v>
      </c>
      <c r="K73" s="90" t="e">
        <f>CONCATENATE(SUBSTITUTE(Spotify!#REF!,",",";"),";",J73)</f>
        <v>#REF!</v>
      </c>
      <c r="L73" s="86"/>
      <c r="M73" s="54" t="e">
        <f>Spotify!#REF!</f>
        <v>#REF!</v>
      </c>
      <c r="N73" s="92" t="e">
        <f>Spotify!#REF!</f>
        <v>#REF!</v>
      </c>
      <c r="O73" s="92" t="e">
        <f>Spotify!#REF!</f>
        <v>#REF!</v>
      </c>
      <c r="P73" s="54" t="e">
        <f>ROUND(Spotify!#REF!,0)</f>
        <v>#REF!</v>
      </c>
      <c r="Q73" s="54" t="e">
        <f>ROUND(Spotify!#REF!*100,0)</f>
        <v>#REF!</v>
      </c>
      <c r="R73" s="54" t="e">
        <f>ROUND(Spotify!#REF!*100,0)</f>
        <v>#REF!</v>
      </c>
      <c r="S73" s="54" t="e">
        <f>Spotify!#REF!</f>
        <v>#REF!</v>
      </c>
      <c r="T73" s="54" t="e">
        <f>ROUND(Spotify!#REF!*100,0)</f>
        <v>#REF!</v>
      </c>
      <c r="U73" s="54" t="e">
        <f>ROUND(Spotify!#REF!/60000,1)</f>
        <v>#REF!</v>
      </c>
      <c r="V73" s="54" t="e">
        <f>ROUND(Spotify!#REF!*100,0)</f>
        <v>#REF!</v>
      </c>
      <c r="W73" s="54" t="e">
        <f>Spotify!#REF!</f>
        <v>#REF!</v>
      </c>
    </row>
    <row r="74" spans="1:23" ht="15" x14ac:dyDescent="0.3">
      <c r="A74" s="87">
        <f t="shared" ca="1" si="5"/>
        <v>0.54132569881775594</v>
      </c>
      <c r="B74" s="93"/>
      <c r="C74" s="94" t="s">
        <v>148</v>
      </c>
      <c r="D74" s="95" t="s">
        <v>149</v>
      </c>
      <c r="E74" s="94" t="s">
        <v>124</v>
      </c>
      <c r="F74" s="94" t="s">
        <v>150</v>
      </c>
      <c r="G74" s="96">
        <v>2002</v>
      </c>
      <c r="H74" s="94" t="s">
        <v>13</v>
      </c>
      <c r="I74" s="94" t="s">
        <v>59</v>
      </c>
      <c r="J74" s="88" t="s">
        <v>1394</v>
      </c>
      <c r="K74" s="90" t="str">
        <f>CONCATENATE(SUBSTITUTE(Spotify!J77,",",";"),";",J74)</f>
        <v>bluegrass;newgrass;folk;americana;groovy;slow;love</v>
      </c>
      <c r="L74" s="86"/>
      <c r="M74" s="54" t="str">
        <f>Spotify!B77</f>
        <v>Doubting Thomas</v>
      </c>
      <c r="N74" s="92" t="str">
        <f>Spotify!D77</f>
        <v>Nickel Creek</v>
      </c>
      <c r="O74" s="92">
        <f>Spotify!E77</f>
        <v>38353</v>
      </c>
      <c r="P74" s="54">
        <f>ROUND(Spotify!U77,0)</f>
        <v>146</v>
      </c>
      <c r="Q74" s="54">
        <f>ROUND(Spotify!L77*100,0)</f>
        <v>14</v>
      </c>
      <c r="R74" s="54">
        <f>ROUND(Spotify!K77*100,0)</f>
        <v>39</v>
      </c>
      <c r="S74" s="54">
        <f>Spotify!N77</f>
        <v>-14.872999999999999</v>
      </c>
      <c r="T74" s="54">
        <f>ROUND(Spotify!T77*100,0)</f>
        <v>27</v>
      </c>
      <c r="U74" s="54">
        <f>ROUND(Spotify!F77/60000,1)</f>
        <v>3.3</v>
      </c>
      <c r="V74" s="54">
        <f>ROUND(Spotify!Q77*100,0)</f>
        <v>91</v>
      </c>
      <c r="W74" s="54">
        <f>Spotify!G77</f>
        <v>37</v>
      </c>
    </row>
    <row r="75" spans="1:23" ht="15" x14ac:dyDescent="0.3">
      <c r="A75" s="87">
        <f t="shared" ca="1" si="5"/>
        <v>0.74992830703508528</v>
      </c>
      <c r="B75" s="93"/>
      <c r="C75" s="94"/>
      <c r="D75" s="95" t="s">
        <v>152</v>
      </c>
      <c r="E75" s="94" t="s">
        <v>153</v>
      </c>
      <c r="F75" s="94"/>
      <c r="G75" s="96">
        <v>1995</v>
      </c>
      <c r="H75" s="94" t="s">
        <v>13</v>
      </c>
      <c r="I75" s="94" t="s">
        <v>154</v>
      </c>
      <c r="J75" s="88" t="s">
        <v>1395</v>
      </c>
      <c r="K75" s="90" t="str">
        <f>CONCATENATE(SUBSTITUTE(Spotify!J79,",",";"),";",J75)</f>
        <v>yacht rock;classic rock;soft rock;groovy;slow;alternative;acoustic</v>
      </c>
      <c r="L75" s="86"/>
      <c r="M75" s="54" t="str">
        <f>Spotify!B79</f>
        <v>Dreams - 2004 Remaster</v>
      </c>
      <c r="N75" s="92" t="str">
        <f>Spotify!D79</f>
        <v>Fleetwood Mac</v>
      </c>
      <c r="O75" s="92">
        <f>Spotify!E79</f>
        <v>28160</v>
      </c>
      <c r="P75" s="54">
        <f>ROUND(Spotify!U79,0)</f>
        <v>120</v>
      </c>
      <c r="Q75" s="54">
        <f>ROUND(Spotify!L79*100,0)</f>
        <v>49</v>
      </c>
      <c r="R75" s="54">
        <f>ROUND(Spotify!K79*100,0)</f>
        <v>83</v>
      </c>
      <c r="S75" s="54">
        <f>Spotify!N79</f>
        <v>-9.7439999999999998</v>
      </c>
      <c r="T75" s="54">
        <f>ROUND(Spotify!T79*100,0)</f>
        <v>79</v>
      </c>
      <c r="U75" s="54">
        <f>ROUND(Spotify!F79/60000,1)</f>
        <v>4.3</v>
      </c>
      <c r="V75" s="54">
        <f>ROUND(Spotify!Q79*100,0)</f>
        <v>6</v>
      </c>
      <c r="W75" s="54">
        <f>Spotify!G79</f>
        <v>92</v>
      </c>
    </row>
    <row r="76" spans="1:23" ht="15" x14ac:dyDescent="0.3">
      <c r="A76" s="87">
        <f t="shared" ref="A76:A84" ca="1" si="6">RAND()</f>
        <v>0.56241876418896497</v>
      </c>
      <c r="B76" s="93"/>
      <c r="C76" s="94" t="s">
        <v>37</v>
      </c>
      <c r="D76" s="95" t="s">
        <v>155</v>
      </c>
      <c r="E76" s="94" t="s">
        <v>132</v>
      </c>
      <c r="F76" s="94"/>
      <c r="G76" s="96">
        <v>1979</v>
      </c>
      <c r="H76" s="94" t="s">
        <v>12</v>
      </c>
      <c r="I76" s="94" t="s">
        <v>156</v>
      </c>
      <c r="J76" s="88" t="s">
        <v>1445</v>
      </c>
      <c r="K76" s="90" t="str">
        <f>CONCATENATE(SUBSTITUTE(Spotify!J80,",",";"),";",J76)</f>
        <v>nu metal;funk rock;alternative metal;alternative rock;dance;fast;love;groovy;oldies;retro</v>
      </c>
      <c r="L76" s="86"/>
      <c r="M76" s="54" t="str">
        <f>Spotify!B80</f>
        <v>Drive</v>
      </c>
      <c r="N76" s="92" t="str">
        <f>Spotify!D80</f>
        <v>Incubus</v>
      </c>
      <c r="O76" s="92">
        <f>Spotify!E80</f>
        <v>36459</v>
      </c>
      <c r="P76" s="54">
        <f>ROUND(Spotify!U80,0)</f>
        <v>91</v>
      </c>
      <c r="Q76" s="54">
        <f>ROUND(Spotify!L80*100,0)</f>
        <v>79</v>
      </c>
      <c r="R76" s="54">
        <f>ROUND(Spotify!K80*100,0)</f>
        <v>65</v>
      </c>
      <c r="S76" s="54">
        <f>Spotify!N80</f>
        <v>-7.34</v>
      </c>
      <c r="T76" s="54">
        <f>ROUND(Spotify!T80*100,0)</f>
        <v>67</v>
      </c>
      <c r="U76" s="54">
        <f>ROUND(Spotify!F80/60000,1)</f>
        <v>3.9</v>
      </c>
      <c r="V76" s="54">
        <f>ROUND(Spotify!Q80*100,0)</f>
        <v>6</v>
      </c>
      <c r="W76" s="54">
        <f>Spotify!G80</f>
        <v>82</v>
      </c>
    </row>
    <row r="77" spans="1:23" ht="15" x14ac:dyDescent="0.3">
      <c r="A77" s="87">
        <f t="shared" ca="1" si="6"/>
        <v>0.84344760798055363</v>
      </c>
      <c r="B77" s="93" t="s">
        <v>1</v>
      </c>
      <c r="C77" s="94" t="s">
        <v>14</v>
      </c>
      <c r="D77" s="95" t="s">
        <v>157</v>
      </c>
      <c r="E77" s="94" t="s">
        <v>158</v>
      </c>
      <c r="F77" s="94"/>
      <c r="G77" s="96">
        <v>2005</v>
      </c>
      <c r="H77" s="94" t="s">
        <v>13</v>
      </c>
      <c r="I77" s="94" t="s">
        <v>63</v>
      </c>
      <c r="J77" s="88"/>
      <c r="K77" s="90" t="str">
        <f>CONCATENATE(SUBSTITUTE(Spotify!J82,",",";"),";",J77)</f>
        <v>;</v>
      </c>
      <c r="L77" s="86"/>
      <c r="M77" s="54" t="str">
        <f>Spotify!B82</f>
        <v>Earth Angel</v>
      </c>
      <c r="N77" s="92" t="str">
        <f>Spotify!D82</f>
        <v>Death Cab for Cutie</v>
      </c>
      <c r="O77" s="92">
        <f>Spotify!E82</f>
        <v>38353</v>
      </c>
      <c r="P77" s="54">
        <f>ROUND(Spotify!U82,0)</f>
        <v>187</v>
      </c>
      <c r="Q77" s="54">
        <f>ROUND(Spotify!L82*100,0)</f>
        <v>65</v>
      </c>
      <c r="R77" s="54">
        <f>ROUND(Spotify!K82*100,0)</f>
        <v>23</v>
      </c>
      <c r="S77" s="54">
        <f>Spotify!N82</f>
        <v>-5.4560000000000004</v>
      </c>
      <c r="T77" s="54">
        <f>ROUND(Spotify!T82*100,0)</f>
        <v>31</v>
      </c>
      <c r="U77" s="54">
        <f>ROUND(Spotify!F82/60000,1)</f>
        <v>3.3</v>
      </c>
      <c r="V77" s="54">
        <f>ROUND(Spotify!Q82*100,0)</f>
        <v>24</v>
      </c>
      <c r="W77" s="54">
        <f>Spotify!G82</f>
        <v>0</v>
      </c>
    </row>
    <row r="78" spans="1:23" ht="15" x14ac:dyDescent="0.3">
      <c r="A78" s="87">
        <f t="shared" ca="1" si="6"/>
        <v>5.7226622796329285E-2</v>
      </c>
      <c r="B78" s="93" t="s">
        <v>1</v>
      </c>
      <c r="C78" s="94"/>
      <c r="D78" s="95" t="s">
        <v>159</v>
      </c>
      <c r="E78" s="94" t="s">
        <v>160</v>
      </c>
      <c r="F78" s="94"/>
      <c r="G78" s="96">
        <v>2002</v>
      </c>
      <c r="H78" s="94" t="s">
        <v>59</v>
      </c>
      <c r="I78" s="94"/>
      <c r="J78" s="88" t="s">
        <v>1553</v>
      </c>
      <c r="K78" s="90" t="str">
        <f>CONCATENATE(SUBSTITUTE(Spotify!J83,",",";"),";",J78)</f>
        <v>classic rock;psychedelic rock;love;slow;acoustic;jazz;sweet</v>
      </c>
      <c r="L78" s="86"/>
      <c r="M78" s="54" t="str">
        <f>Spotify!B83</f>
        <v>Eight Days A Week - Remastered 2015</v>
      </c>
      <c r="N78" s="92" t="str">
        <f>Spotify!D83</f>
        <v>The Beatles</v>
      </c>
      <c r="O78" s="92">
        <f>Spotify!E83</f>
        <v>36843</v>
      </c>
      <c r="P78" s="54">
        <f>ROUND(Spotify!U83,0)</f>
        <v>139</v>
      </c>
      <c r="Q78" s="54">
        <f>ROUND(Spotify!L83*100,0)</f>
        <v>68</v>
      </c>
      <c r="R78" s="54">
        <f>ROUND(Spotify!K83*100,0)</f>
        <v>64</v>
      </c>
      <c r="S78" s="54">
        <f>Spotify!N83</f>
        <v>-5.6050000000000004</v>
      </c>
      <c r="T78" s="54">
        <f>ROUND(Spotify!T83*100,0)</f>
        <v>84</v>
      </c>
      <c r="U78" s="54">
        <f>ROUND(Spotify!F83/60000,1)</f>
        <v>2.7</v>
      </c>
      <c r="V78" s="54">
        <f>ROUND(Spotify!Q83*100,0)</f>
        <v>27</v>
      </c>
      <c r="W78" s="54">
        <f>Spotify!G83</f>
        <v>52</v>
      </c>
    </row>
    <row r="79" spans="1:23" ht="15" x14ac:dyDescent="0.3">
      <c r="A79" s="87"/>
      <c r="B79" s="93"/>
      <c r="C79" s="94"/>
      <c r="D79" s="89" t="s">
        <v>1864</v>
      </c>
      <c r="E79" s="97" t="s">
        <v>551</v>
      </c>
      <c r="F79" s="97"/>
      <c r="G79" s="98">
        <v>1977</v>
      </c>
      <c r="H79" s="97" t="s">
        <v>12</v>
      </c>
      <c r="I79" s="97" t="s">
        <v>261</v>
      </c>
      <c r="J79" s="90"/>
      <c r="K79" s="90" t="str">
        <f>CONCATENATE(SUBSTITUTE(Spotify!J85,",",";"),";",J79)</f>
        <v>;</v>
      </c>
      <c r="L79" s="86"/>
      <c r="M79" s="54" t="str">
        <f>Spotify!B85</f>
        <v>Every Breath You Take</v>
      </c>
      <c r="N79" s="92" t="str">
        <f>Spotify!D85</f>
        <v>The Police</v>
      </c>
      <c r="O79" s="92">
        <f>Spotify!E85</f>
        <v>44765</v>
      </c>
      <c r="P79" s="54">
        <f>ROUND(Spotify!U85,0)</f>
        <v>117</v>
      </c>
      <c r="Q79" s="54">
        <f>ROUND(Spotify!L85*100,0)</f>
        <v>46</v>
      </c>
      <c r="R79" s="54">
        <f>ROUND(Spotify!K85*100,0)</f>
        <v>82</v>
      </c>
      <c r="S79" s="54">
        <f>Spotify!N85</f>
        <v>-9.7219999999999995</v>
      </c>
      <c r="T79" s="54">
        <f>ROUND(Spotify!T85*100,0)</f>
        <v>71</v>
      </c>
      <c r="U79" s="54">
        <f>ROUND(Spotify!F85/60000,1)</f>
        <v>4.2</v>
      </c>
      <c r="V79" s="54">
        <f>ROUND(Spotify!Q85*100,0)</f>
        <v>54</v>
      </c>
      <c r="W79" s="54">
        <f>Spotify!G85</f>
        <v>0</v>
      </c>
    </row>
    <row r="80" spans="1:23" ht="15" x14ac:dyDescent="0.3">
      <c r="A80" s="87">
        <f t="shared" ca="1" si="6"/>
        <v>0.81220531411521257</v>
      </c>
      <c r="B80" s="93" t="s">
        <v>1</v>
      </c>
      <c r="C80" s="94" t="s">
        <v>10</v>
      </c>
      <c r="D80" s="95" t="s">
        <v>161</v>
      </c>
      <c r="E80" s="94" t="s">
        <v>162</v>
      </c>
      <c r="F80" s="94"/>
      <c r="G80" s="96">
        <v>2000</v>
      </c>
      <c r="H80" s="94" t="s">
        <v>12</v>
      </c>
      <c r="I80" s="94" t="s">
        <v>29</v>
      </c>
      <c r="J80" s="88" t="s">
        <v>1397</v>
      </c>
      <c r="K80" s="90" t="str">
        <f>CONCATENATE(SUBSTITUTE(Spotify!J86,",",";"),";",J80)</f>
        <v>;alternative;groovy;dance</v>
      </c>
      <c r="L80" s="86"/>
      <c r="M80" s="54" t="str">
        <f>Spotify!B86</f>
        <v>Every Little Thing She Does Is Magic - Live</v>
      </c>
      <c r="N80" s="92" t="str">
        <f>Spotify!D86</f>
        <v>Eric Hutchinson</v>
      </c>
      <c r="O80" s="92">
        <f>Spotify!E86</f>
        <v>41919</v>
      </c>
      <c r="P80" s="54">
        <f>ROUND(Spotify!U86,0)</f>
        <v>78</v>
      </c>
      <c r="Q80" s="54">
        <f>ROUND(Spotify!L86*100,0)</f>
        <v>56</v>
      </c>
      <c r="R80" s="54">
        <f>ROUND(Spotify!K86*100,0)</f>
        <v>71</v>
      </c>
      <c r="S80" s="54">
        <f>Spotify!N86</f>
        <v>-4.9740000000000002</v>
      </c>
      <c r="T80" s="54">
        <f>ROUND(Spotify!T86*100,0)</f>
        <v>83</v>
      </c>
      <c r="U80" s="54">
        <f>ROUND(Spotify!F86/60000,1)</f>
        <v>2.9</v>
      </c>
      <c r="V80" s="54">
        <f>ROUND(Spotify!Q86*100,0)</f>
        <v>43</v>
      </c>
      <c r="W80" s="54">
        <f>Spotify!G86</f>
        <v>37</v>
      </c>
    </row>
    <row r="81" spans="1:23" ht="15" x14ac:dyDescent="0.3">
      <c r="A81" s="87">
        <f t="shared" ca="1" si="6"/>
        <v>0.38687338275676919</v>
      </c>
      <c r="B81" s="93" t="s">
        <v>1</v>
      </c>
      <c r="C81" s="94" t="s">
        <v>93</v>
      </c>
      <c r="D81" s="95" t="s">
        <v>163</v>
      </c>
      <c r="E81" s="94" t="s">
        <v>164</v>
      </c>
      <c r="F81" s="94"/>
      <c r="G81" s="96">
        <v>1978</v>
      </c>
      <c r="H81" s="94" t="s">
        <v>12</v>
      </c>
      <c r="I81" s="94" t="s">
        <v>165</v>
      </c>
      <c r="J81" s="88" t="s">
        <v>1410</v>
      </c>
      <c r="K81" s="90" t="str">
        <f>CONCATENATE(SUBSTITUTE(Spotify!J87,",",";"),";",J81)</f>
        <v>christmas;alternative;acoustic;oldies;retro;love</v>
      </c>
      <c r="L81" s="86"/>
      <c r="M81" s="54" t="str">
        <f>Spotify!B87</f>
        <v>Everything</v>
      </c>
      <c r="N81" s="92" t="str">
        <f>Spotify!D87</f>
        <v>Michael Bublé</v>
      </c>
      <c r="O81" s="92">
        <f>Spotify!E87</f>
        <v>39199</v>
      </c>
      <c r="P81" s="54">
        <f>ROUND(Spotify!U87,0)</f>
        <v>123</v>
      </c>
      <c r="Q81" s="54">
        <f>ROUND(Spotify!L87*100,0)</f>
        <v>69</v>
      </c>
      <c r="R81" s="54">
        <f>ROUND(Spotify!K87*100,0)</f>
        <v>69</v>
      </c>
      <c r="S81" s="54">
        <f>Spotify!N87</f>
        <v>-4.9809999999999999</v>
      </c>
      <c r="T81" s="54">
        <f>ROUND(Spotify!T87*100,0)</f>
        <v>49</v>
      </c>
      <c r="U81" s="54">
        <f>ROUND(Spotify!F87/60000,1)</f>
        <v>3.5</v>
      </c>
      <c r="V81" s="54">
        <f>ROUND(Spotify!Q87*100,0)</f>
        <v>39</v>
      </c>
      <c r="W81" s="54">
        <f>Spotify!G87</f>
        <v>72</v>
      </c>
    </row>
    <row r="82" spans="1:23" ht="15" x14ac:dyDescent="0.3">
      <c r="A82" s="87">
        <f t="shared" ca="1" si="6"/>
        <v>0.53864280571319656</v>
      </c>
      <c r="B82" s="93" t="s">
        <v>1</v>
      </c>
      <c r="C82" s="94"/>
      <c r="D82" s="95" t="s">
        <v>166</v>
      </c>
      <c r="E82" s="94" t="s">
        <v>774</v>
      </c>
      <c r="F82" s="94" t="s">
        <v>648</v>
      </c>
      <c r="G82" s="96">
        <v>1954</v>
      </c>
      <c r="H82" s="94" t="s">
        <v>69</v>
      </c>
      <c r="I82" s="94" t="s">
        <v>76</v>
      </c>
      <c r="J82" s="88" t="s">
        <v>1521</v>
      </c>
      <c r="K82" s="90" t="str">
        <f>CONCATENATE(SUBSTITUTE(Spotify!J88,",",";"),";",J82)</f>
        <v>soft rock;yacht rock;oldies;retro;love;slow;waltz</v>
      </c>
      <c r="L82" s="86"/>
      <c r="M82" s="54" t="str">
        <f>Spotify!B88</f>
        <v>Everything I Own</v>
      </c>
      <c r="N82" s="92" t="str">
        <f>Spotify!D88</f>
        <v>Bread</v>
      </c>
      <c r="O82" s="92">
        <f>Spotify!E88</f>
        <v>1972</v>
      </c>
      <c r="P82" s="54">
        <f>ROUND(Spotify!U88,0)</f>
        <v>79</v>
      </c>
      <c r="Q82" s="54">
        <f>ROUND(Spotify!L88*100,0)</f>
        <v>34</v>
      </c>
      <c r="R82" s="54">
        <f>ROUND(Spotify!K88*100,0)</f>
        <v>37</v>
      </c>
      <c r="S82" s="54">
        <f>Spotify!N88</f>
        <v>-13.406000000000001</v>
      </c>
      <c r="T82" s="54">
        <f>ROUND(Spotify!T88*100,0)</f>
        <v>45</v>
      </c>
      <c r="U82" s="54">
        <f>ROUND(Spotify!F88/60000,1)</f>
        <v>3.1</v>
      </c>
      <c r="V82" s="54">
        <f>ROUND(Spotify!Q88*100,0)</f>
        <v>74</v>
      </c>
      <c r="W82" s="54">
        <f>Spotify!G88</f>
        <v>76</v>
      </c>
    </row>
    <row r="83" spans="1:23" ht="15" x14ac:dyDescent="0.3">
      <c r="A83" s="87">
        <f t="shared" ca="1" si="6"/>
        <v>0.39481489848249041</v>
      </c>
      <c r="B83" s="93"/>
      <c r="C83" s="94" t="s">
        <v>46</v>
      </c>
      <c r="D83" s="95" t="s">
        <v>169</v>
      </c>
      <c r="E83" s="97" t="s">
        <v>90</v>
      </c>
      <c r="F83" s="94"/>
      <c r="G83" s="96">
        <v>1964</v>
      </c>
      <c r="H83" s="94" t="s">
        <v>12</v>
      </c>
      <c r="I83" s="94"/>
      <c r="J83" s="88" t="s">
        <v>1399</v>
      </c>
      <c r="K83" s="90" t="str">
        <f>CONCATENATE(SUBSTITUTE(Spotify!J89,",",";"),";",J83)</f>
        <v>yacht rock;classic rock;soft rock;oldies;retro;love;dance;fast</v>
      </c>
      <c r="L83" s="86"/>
      <c r="M83" s="54" t="str">
        <f>Spotify!B89</f>
        <v>Everywhere</v>
      </c>
      <c r="N83" s="92" t="str">
        <f>Spotify!D89</f>
        <v>Fleetwood Mac</v>
      </c>
      <c r="O83" s="92">
        <f>Spotify!E89</f>
        <v>32468</v>
      </c>
      <c r="P83" s="54">
        <f>ROUND(Spotify!U89,0)</f>
        <v>115</v>
      </c>
      <c r="Q83" s="54">
        <f>ROUND(Spotify!L89*100,0)</f>
        <v>54</v>
      </c>
      <c r="R83" s="54">
        <f>ROUND(Spotify!K89*100,0)</f>
        <v>69</v>
      </c>
      <c r="S83" s="54">
        <f>Spotify!N89</f>
        <v>-10.516</v>
      </c>
      <c r="T83" s="54">
        <f>ROUND(Spotify!T89*100,0)</f>
        <v>76</v>
      </c>
      <c r="U83" s="54">
        <f>ROUND(Spotify!F89/60000,1)</f>
        <v>3.7</v>
      </c>
      <c r="V83" s="54">
        <f>ROUND(Spotify!Q89*100,0)</f>
        <v>22</v>
      </c>
      <c r="W83" s="54">
        <f>Spotify!G89</f>
        <v>71</v>
      </c>
    </row>
    <row r="84" spans="1:23" ht="15" x14ac:dyDescent="0.3">
      <c r="A84" s="87">
        <f t="shared" ca="1" si="6"/>
        <v>0.24896259064962678</v>
      </c>
      <c r="B84" s="93"/>
      <c r="C84" s="94" t="s">
        <v>14</v>
      </c>
      <c r="D84" s="95" t="s">
        <v>171</v>
      </c>
      <c r="E84" s="94" t="s">
        <v>172</v>
      </c>
      <c r="F84" s="94"/>
      <c r="G84" s="96">
        <v>1979</v>
      </c>
      <c r="H84" s="94" t="s">
        <v>12</v>
      </c>
      <c r="I84" s="94"/>
      <c r="J84" s="88" t="s">
        <v>1400</v>
      </c>
      <c r="K84" s="90" t="str">
        <f>CONCATENATE(SUBSTITUTE(Spotify!J91,",",";"),";",J84)</f>
        <v>;groovy;love;dance;oldies;retro</v>
      </c>
      <c r="L84" s="86"/>
      <c r="M84" s="54" t="str">
        <f>Spotify!B91</f>
        <v>Faith</v>
      </c>
      <c r="N84" s="92" t="str">
        <f>Spotify!D91</f>
        <v>George Michael</v>
      </c>
      <c r="O84" s="92">
        <f>Spotify!E91</f>
        <v>36108</v>
      </c>
      <c r="P84" s="54">
        <f>ROUND(Spotify!U91,0)</f>
        <v>96</v>
      </c>
      <c r="Q84" s="54">
        <f>ROUND(Spotify!L91*100,0)</f>
        <v>50</v>
      </c>
      <c r="R84" s="54">
        <f>ROUND(Spotify!K91*100,0)</f>
        <v>92</v>
      </c>
      <c r="S84" s="54">
        <f>Spotify!N91</f>
        <v>-10.435</v>
      </c>
      <c r="T84" s="54">
        <f>ROUND(Spotify!T91*100,0)</f>
        <v>55</v>
      </c>
      <c r="U84" s="54">
        <f>ROUND(Spotify!F91/60000,1)</f>
        <v>3.2</v>
      </c>
      <c r="V84" s="54">
        <f>ROUND(Spotify!Q91*100,0)</f>
        <v>1</v>
      </c>
      <c r="W84" s="54">
        <f>Spotify!G91</f>
        <v>1</v>
      </c>
    </row>
    <row r="85" spans="1:23" ht="15" x14ac:dyDescent="0.3">
      <c r="A85" s="87"/>
      <c r="B85" s="93"/>
      <c r="C85" s="94"/>
      <c r="D85" s="95" t="s">
        <v>1680</v>
      </c>
      <c r="E85" s="94" t="s">
        <v>174</v>
      </c>
      <c r="F85" s="94"/>
      <c r="G85" s="96">
        <v>1983</v>
      </c>
      <c r="H85" s="94" t="s">
        <v>12</v>
      </c>
      <c r="I85" s="94"/>
      <c r="J85" s="88"/>
      <c r="K85" s="90" t="str">
        <f>CONCATENATE(SUBSTITUTE(Spotify!J92,",",";"),";",J85)</f>
        <v>folk;</v>
      </c>
      <c r="L85" s="86"/>
      <c r="M85" s="54" t="str">
        <f>Spotify!B92</f>
        <v>Fare Thee Well (Dink's Song)</v>
      </c>
      <c r="N85" s="92" t="str">
        <f>Spotify!D92</f>
        <v>Oscar Isaac;Marcus Mumford</v>
      </c>
      <c r="O85" s="92">
        <f>Spotify!E92</f>
        <v>41684</v>
      </c>
      <c r="P85" s="54">
        <f>ROUND(Spotify!U92,0)</f>
        <v>82</v>
      </c>
      <c r="Q85" s="54">
        <f>ROUND(Spotify!L92*100,0)</f>
        <v>43</v>
      </c>
      <c r="R85" s="54">
        <f>ROUND(Spotify!K92*100,0)</f>
        <v>50</v>
      </c>
      <c r="S85" s="54">
        <f>Spotify!N92</f>
        <v>-8.0790000000000006</v>
      </c>
      <c r="T85" s="54">
        <f>ROUND(Spotify!T92*100,0)</f>
        <v>23</v>
      </c>
      <c r="U85" s="54">
        <f>ROUND(Spotify!F92/60000,1)</f>
        <v>3</v>
      </c>
      <c r="V85" s="54">
        <f>ROUND(Spotify!Q92*100,0)</f>
        <v>90</v>
      </c>
      <c r="W85" s="54">
        <f>Spotify!G92</f>
        <v>51</v>
      </c>
    </row>
    <row r="86" spans="1:23" ht="15" x14ac:dyDescent="0.3">
      <c r="A86" s="87">
        <f ca="1">RAND()</f>
        <v>6.1218540257947818E-2</v>
      </c>
      <c r="B86" s="93"/>
      <c r="C86" s="94" t="s">
        <v>14</v>
      </c>
      <c r="D86" s="89" t="s">
        <v>173</v>
      </c>
      <c r="E86" s="97" t="s">
        <v>16</v>
      </c>
      <c r="F86" s="97" t="s">
        <v>174</v>
      </c>
      <c r="G86" s="98">
        <v>1981</v>
      </c>
      <c r="H86" s="97" t="s">
        <v>13</v>
      </c>
      <c r="I86" s="97"/>
      <c r="J86" s="88" t="s">
        <v>1401</v>
      </c>
      <c r="K86" s="90" t="str">
        <f>CONCATENATE(SUBSTITUTE(Spotify!J93,",",";"),";",J86)</f>
        <v>;alternative;dance;fast;love</v>
      </c>
      <c r="L86" s="86"/>
      <c r="M86" s="54" t="str">
        <f>Spotify!B93</f>
        <v>Feels Like Home</v>
      </c>
      <c r="N86" s="92" t="str">
        <f>Spotify!D93</f>
        <v>Edwina Hayes</v>
      </c>
      <c r="O86" s="92">
        <f>Spotify!E93</f>
        <v>39908</v>
      </c>
      <c r="P86" s="54">
        <f>ROUND(Spotify!U93,0)</f>
        <v>108</v>
      </c>
      <c r="Q86" s="54">
        <f>ROUND(Spotify!L93*100,0)</f>
        <v>26</v>
      </c>
      <c r="R86" s="54">
        <f>ROUND(Spotify!K93*100,0)</f>
        <v>46</v>
      </c>
      <c r="S86" s="54">
        <f>Spotify!N93</f>
        <v>-9.1519999999999992</v>
      </c>
      <c r="T86" s="54">
        <f>ROUND(Spotify!T93*100,0)</f>
        <v>50</v>
      </c>
      <c r="U86" s="54">
        <f>ROUND(Spotify!F93/60000,1)</f>
        <v>4.2</v>
      </c>
      <c r="V86" s="54">
        <f>ROUND(Spotify!Q93*100,0)</f>
        <v>87</v>
      </c>
      <c r="W86" s="54">
        <f>Spotify!G93</f>
        <v>44</v>
      </c>
    </row>
    <row r="87" spans="1:23" ht="15" x14ac:dyDescent="0.3">
      <c r="A87" s="87">
        <f ca="1">RAND()</f>
        <v>0.73786437827669238</v>
      </c>
      <c r="B87" s="93" t="s">
        <v>1</v>
      </c>
      <c r="C87" s="94" t="s">
        <v>37</v>
      </c>
      <c r="D87" s="95" t="s">
        <v>175</v>
      </c>
      <c r="E87" s="94" t="s">
        <v>176</v>
      </c>
      <c r="F87" s="94"/>
      <c r="G87" s="96">
        <v>2006</v>
      </c>
      <c r="H87" s="94" t="s">
        <v>13</v>
      </c>
      <c r="I87" s="94"/>
      <c r="J87" s="88" t="s">
        <v>1391</v>
      </c>
      <c r="K87" s="90" t="str">
        <f>CONCATENATE(SUBSTITUTE(Spotify!J94,",",";"),";",J87)</f>
        <v>singer-songwriter;groovy;dance</v>
      </c>
      <c r="L87" s="86"/>
      <c r="M87" s="54" t="str">
        <f>Spotify!B94</f>
        <v>50 Ways to Leave Your Lover</v>
      </c>
      <c r="N87" s="92" t="str">
        <f>Spotify!D94</f>
        <v>Paul Simon</v>
      </c>
      <c r="O87" s="92">
        <f>Spotify!E94</f>
        <v>27692</v>
      </c>
      <c r="P87" s="54">
        <f>ROUND(Spotify!U94,0)</f>
        <v>102</v>
      </c>
      <c r="Q87" s="54">
        <f>ROUND(Spotify!L94*100,0)</f>
        <v>37</v>
      </c>
      <c r="R87" s="54">
        <f>ROUND(Spotify!K94*100,0)</f>
        <v>82</v>
      </c>
      <c r="S87" s="54">
        <f>Spotify!N94</f>
        <v>-12.814</v>
      </c>
      <c r="T87" s="54">
        <f>ROUND(Spotify!T94*100,0)</f>
        <v>29</v>
      </c>
      <c r="U87" s="54">
        <f>ROUND(Spotify!F94/60000,1)</f>
        <v>3.6</v>
      </c>
      <c r="V87" s="54">
        <f>ROUND(Spotify!Q94*100,0)</f>
        <v>17</v>
      </c>
      <c r="W87" s="54">
        <f>Spotify!G94</f>
        <v>74</v>
      </c>
    </row>
    <row r="88" spans="1:23" ht="15" x14ac:dyDescent="0.3">
      <c r="A88" s="87">
        <f ca="1">RAND()</f>
        <v>0.37396959983327693</v>
      </c>
      <c r="B88" s="93" t="s">
        <v>1</v>
      </c>
      <c r="C88" s="94" t="s">
        <v>14</v>
      </c>
      <c r="D88" s="89" t="s">
        <v>177</v>
      </c>
      <c r="E88" s="97" t="s">
        <v>178</v>
      </c>
      <c r="F88" s="97"/>
      <c r="G88" s="98">
        <v>1972</v>
      </c>
      <c r="H88" s="97" t="s">
        <v>12</v>
      </c>
      <c r="I88" s="97" t="s">
        <v>33</v>
      </c>
      <c r="J88" s="90" t="s">
        <v>1402</v>
      </c>
      <c r="K88" s="90" t="str">
        <f>CONCATENATE(SUBSTITUTE(Spotify!J95,",",";"),";",J88)</f>
        <v>indie folk;love;slow;oldies;retro</v>
      </c>
      <c r="L88" s="86"/>
      <c r="M88" s="54" t="str">
        <f>Spotify!B95</f>
        <v>First Day of My Life</v>
      </c>
      <c r="N88" s="92" t="str">
        <f>Spotify!D95</f>
        <v>Bright Eyes</v>
      </c>
      <c r="O88" s="92">
        <f>Spotify!E95</f>
        <v>38377</v>
      </c>
      <c r="P88" s="54">
        <f>ROUND(Spotify!U95,0)</f>
        <v>95</v>
      </c>
      <c r="Q88" s="54">
        <f>ROUND(Spotify!L95*100,0)</f>
        <v>25</v>
      </c>
      <c r="R88" s="54">
        <f>ROUND(Spotify!K95*100,0)</f>
        <v>60</v>
      </c>
      <c r="S88" s="54">
        <f>Spotify!N95</f>
        <v>-14.369</v>
      </c>
      <c r="T88" s="54">
        <f>ROUND(Spotify!T95*100,0)</f>
        <v>37</v>
      </c>
      <c r="U88" s="54">
        <f>ROUND(Spotify!F95/60000,1)</f>
        <v>3.1</v>
      </c>
      <c r="V88" s="54">
        <f>ROUND(Spotify!Q95*100,0)</f>
        <v>90</v>
      </c>
      <c r="W88" s="54">
        <f>Spotify!G95</f>
        <v>66</v>
      </c>
    </row>
    <row r="89" spans="1:23" ht="15" x14ac:dyDescent="0.3">
      <c r="A89" s="87"/>
      <c r="B89" s="93"/>
      <c r="C89" s="94"/>
      <c r="D89" s="89" t="s">
        <v>1684</v>
      </c>
      <c r="E89" s="97" t="s">
        <v>551</v>
      </c>
      <c r="F89" s="97"/>
      <c r="G89" s="98">
        <v>1987</v>
      </c>
      <c r="H89" s="97" t="s">
        <v>12</v>
      </c>
      <c r="I89" s="97"/>
      <c r="J89" s="90"/>
      <c r="K89" s="90" t="str">
        <f>CONCATENATE(SUBSTITUTE(Spotify!J96,",",";"),";",J89)</f>
        <v>folk;folk rock;</v>
      </c>
      <c r="L89" s="86"/>
      <c r="M89" s="54" t="str">
        <f>Spotify!B96</f>
        <v>500 Miles</v>
      </c>
      <c r="N89" s="92" t="str">
        <f>Spotify!D96</f>
        <v>Peter, Paul and Mary</v>
      </c>
      <c r="O89" s="92">
        <f>Spotify!E96</f>
        <v>22767</v>
      </c>
      <c r="P89" s="54">
        <f>ROUND(Spotify!U96,0)</f>
        <v>97</v>
      </c>
      <c r="Q89" s="54">
        <f>ROUND(Spotify!L96*100,0)</f>
        <v>7</v>
      </c>
      <c r="R89" s="54">
        <f>ROUND(Spotify!K96*100,0)</f>
        <v>44</v>
      </c>
      <c r="S89" s="54">
        <f>Spotify!N96</f>
        <v>-19.734999999999999</v>
      </c>
      <c r="T89" s="54">
        <f>ROUND(Spotify!T96*100,0)</f>
        <v>26</v>
      </c>
      <c r="U89" s="54">
        <f>ROUND(Spotify!F96/60000,1)</f>
        <v>2.7</v>
      </c>
      <c r="V89" s="54">
        <f>ROUND(Spotify!Q96*100,0)</f>
        <v>86</v>
      </c>
      <c r="W89" s="54">
        <f>Spotify!G96</f>
        <v>81</v>
      </c>
    </row>
    <row r="90" spans="1:23" ht="15" x14ac:dyDescent="0.3">
      <c r="A90" s="87">
        <f ca="1">RAND()</f>
        <v>0.92914357417343241</v>
      </c>
      <c r="B90" s="93"/>
      <c r="C90" s="94" t="s">
        <v>77</v>
      </c>
      <c r="D90" s="95" t="s">
        <v>625</v>
      </c>
      <c r="E90" s="94" t="s">
        <v>626</v>
      </c>
      <c r="F90" s="94"/>
      <c r="G90" s="96">
        <v>1982</v>
      </c>
      <c r="H90" s="94" t="s">
        <v>12</v>
      </c>
      <c r="I90" s="94"/>
      <c r="J90" s="88" t="s">
        <v>1403</v>
      </c>
      <c r="K90" s="90" t="str">
        <f>CONCATENATE(SUBSTITUTE(Spotify!J97,",",";"),";",J90)</f>
        <v>;groovy;dance;fast;oldies;retro</v>
      </c>
      <c r="L90" s="86"/>
      <c r="M90" s="54" t="str">
        <f>Spotify!B97</f>
        <v>Fix You</v>
      </c>
      <c r="N90" s="92" t="str">
        <f>Spotify!D97</f>
        <v>Coldplay</v>
      </c>
      <c r="O90" s="92">
        <f>Spotify!E97</f>
        <v>38510</v>
      </c>
      <c r="P90" s="54">
        <f>ROUND(Spotify!U97,0)</f>
        <v>138</v>
      </c>
      <c r="Q90" s="54">
        <f>ROUND(Spotify!L97*100,0)</f>
        <v>42</v>
      </c>
      <c r="R90" s="54">
        <f>ROUND(Spotify!K97*100,0)</f>
        <v>21</v>
      </c>
      <c r="S90" s="54">
        <f>Spotify!N97</f>
        <v>-8.74</v>
      </c>
      <c r="T90" s="54">
        <f>ROUND(Spotify!T97*100,0)</f>
        <v>12</v>
      </c>
      <c r="U90" s="54">
        <f>ROUND(Spotify!F97/60000,1)</f>
        <v>4.9000000000000004</v>
      </c>
      <c r="V90" s="54">
        <f>ROUND(Spotify!Q97*100,0)</f>
        <v>16</v>
      </c>
      <c r="W90" s="54">
        <f>Spotify!G97</f>
        <v>86</v>
      </c>
    </row>
    <row r="91" spans="1:23" ht="15" x14ac:dyDescent="0.3">
      <c r="A91" s="87">
        <f ca="1">RAND()</f>
        <v>0.59808426730870379</v>
      </c>
      <c r="B91" s="93" t="s">
        <v>1</v>
      </c>
      <c r="C91" s="94" t="s">
        <v>46</v>
      </c>
      <c r="D91" s="95" t="s">
        <v>179</v>
      </c>
      <c r="E91" s="94" t="s">
        <v>113</v>
      </c>
      <c r="F91" s="94"/>
      <c r="G91" s="96">
        <v>1987</v>
      </c>
      <c r="H91" s="94" t="s">
        <v>12</v>
      </c>
      <c r="I91" s="94" t="s">
        <v>13</v>
      </c>
      <c r="J91" s="88" t="s">
        <v>1404</v>
      </c>
      <c r="K91" s="90" t="str">
        <f>CONCATENATE(SUBSTITUTE(Spotify!J98,",",";"),";",J91)</f>
        <v>;groovy;dance;fast;oldies;retro;love</v>
      </c>
      <c r="L91" s="86"/>
      <c r="M91" s="54" t="str">
        <f>Spotify!B98</f>
        <v>Flowers</v>
      </c>
      <c r="N91" s="92" t="str">
        <f>Spotify!D98</f>
        <v>Miley Cyrus</v>
      </c>
      <c r="O91" s="92">
        <f>Spotify!E98</f>
        <v>44939</v>
      </c>
      <c r="P91" s="54">
        <f>ROUND(Spotify!U98,0)</f>
        <v>118</v>
      </c>
      <c r="Q91" s="54">
        <f>ROUND(Spotify!L98*100,0)</f>
        <v>68</v>
      </c>
      <c r="R91" s="54">
        <f>ROUND(Spotify!K98*100,0)</f>
        <v>71</v>
      </c>
      <c r="S91" s="54">
        <f>Spotify!N98</f>
        <v>-4.3250000000000002</v>
      </c>
      <c r="T91" s="54">
        <f>ROUND(Spotify!T98*100,0)</f>
        <v>65</v>
      </c>
      <c r="U91" s="54">
        <f>ROUND(Spotify!F98/60000,1)</f>
        <v>3.3</v>
      </c>
      <c r="V91" s="54">
        <f>ROUND(Spotify!Q98*100,0)</f>
        <v>6</v>
      </c>
      <c r="W91" s="54">
        <f>Spotify!G98</f>
        <v>14</v>
      </c>
    </row>
    <row r="92" spans="1:23" ht="15" x14ac:dyDescent="0.3">
      <c r="A92" s="87">
        <f t="shared" ref="A92:A99" ca="1" si="7">RAND()</f>
        <v>0.99895938247832128</v>
      </c>
      <c r="B92" s="93" t="s">
        <v>1</v>
      </c>
      <c r="C92" s="94"/>
      <c r="D92" s="95" t="s">
        <v>180</v>
      </c>
      <c r="E92" s="94" t="s">
        <v>65</v>
      </c>
      <c r="F92" s="94"/>
      <c r="G92" s="96">
        <v>2002</v>
      </c>
      <c r="H92" s="101" t="s">
        <v>63</v>
      </c>
      <c r="I92" s="101"/>
      <c r="J92" s="88" t="s">
        <v>1561</v>
      </c>
      <c r="K92" s="90" t="str">
        <f>CONCATENATE(SUBSTITUTE(Spotify!J100,",",";"),";",J92)</f>
        <v>;acoustic;slow;alternative;folk</v>
      </c>
      <c r="L92" s="86"/>
      <c r="M92" s="54" t="str">
        <f>Spotify!B100</f>
        <v>Follow Me</v>
      </c>
      <c r="N92" s="92" t="str">
        <f>Spotify!D100</f>
        <v>Uncle Kracker</v>
      </c>
      <c r="O92" s="92">
        <f>Spotify!E100</f>
        <v>36690</v>
      </c>
      <c r="P92" s="54">
        <f>ROUND(Spotify!U100,0)</f>
        <v>105</v>
      </c>
      <c r="Q92" s="54">
        <f>ROUND(Spotify!L100*100,0)</f>
        <v>59</v>
      </c>
      <c r="R92" s="54">
        <f>ROUND(Spotify!K100*100,0)</f>
        <v>82</v>
      </c>
      <c r="S92" s="54">
        <f>Spotify!N100</f>
        <v>-4.6879999999999997</v>
      </c>
      <c r="T92" s="54">
        <f>ROUND(Spotify!T100*100,0)</f>
        <v>92</v>
      </c>
      <c r="U92" s="54">
        <f>ROUND(Spotify!F100/60000,1)</f>
        <v>3.6</v>
      </c>
      <c r="V92" s="54">
        <f>ROUND(Spotify!Q100*100,0)</f>
        <v>44</v>
      </c>
      <c r="W92" s="54">
        <f>Spotify!G100</f>
        <v>75</v>
      </c>
    </row>
    <row r="93" spans="1:23" ht="15" x14ac:dyDescent="0.3">
      <c r="A93" s="87">
        <f t="shared" ca="1" si="7"/>
        <v>0.75873506316413442</v>
      </c>
      <c r="B93" s="93" t="s">
        <v>1</v>
      </c>
      <c r="C93" s="94" t="s">
        <v>537</v>
      </c>
      <c r="D93" s="100" t="s">
        <v>538</v>
      </c>
      <c r="E93" s="94" t="s">
        <v>539</v>
      </c>
      <c r="F93" s="94" t="s">
        <v>540</v>
      </c>
      <c r="G93" s="96">
        <v>2009</v>
      </c>
      <c r="H93" s="94" t="s">
        <v>63</v>
      </c>
      <c r="I93" s="94"/>
      <c r="J93" s="88" t="s">
        <v>1386</v>
      </c>
      <c r="K93" s="90" t="str">
        <f>CONCATENATE(SUBSTITUTE(Spotify!J101,",",";"),";",J93)</f>
        <v>folk rock;country rock;slow;love</v>
      </c>
      <c r="L93" s="86"/>
      <c r="M93" s="54" t="str">
        <f>Spotify!B101</f>
        <v>For What It's Worth</v>
      </c>
      <c r="N93" s="92" t="str">
        <f>Spotify!D101</f>
        <v>Buffalo Springfield</v>
      </c>
      <c r="O93" s="92">
        <f>Spotify!E101</f>
        <v>24446</v>
      </c>
      <c r="P93" s="54">
        <f>ROUND(Spotify!U101,0)</f>
        <v>99</v>
      </c>
      <c r="Q93" s="54">
        <f>ROUND(Spotify!L101*100,0)</f>
        <v>52</v>
      </c>
      <c r="R93" s="54">
        <f>ROUND(Spotify!K101*100,0)</f>
        <v>65</v>
      </c>
      <c r="S93" s="54">
        <f>Spotify!N101</f>
        <v>-10.164</v>
      </c>
      <c r="T93" s="54">
        <f>ROUND(Spotify!T101*100,0)</f>
        <v>82</v>
      </c>
      <c r="U93" s="54">
        <f>ROUND(Spotify!F101/60000,1)</f>
        <v>2.6</v>
      </c>
      <c r="V93" s="54">
        <f>ROUND(Spotify!Q101*100,0)</f>
        <v>41</v>
      </c>
      <c r="W93" s="54">
        <f>Spotify!G101</f>
        <v>81</v>
      </c>
    </row>
    <row r="94" spans="1:23" ht="15" x14ac:dyDescent="0.3">
      <c r="A94" s="87">
        <f t="shared" ca="1" si="7"/>
        <v>0.74419411210754705</v>
      </c>
      <c r="B94" s="93" t="s">
        <v>1</v>
      </c>
      <c r="C94" s="94" t="s">
        <v>10</v>
      </c>
      <c r="D94" s="95" t="s">
        <v>627</v>
      </c>
      <c r="E94" s="94" t="s">
        <v>628</v>
      </c>
      <c r="F94" s="94"/>
      <c r="G94" s="96">
        <v>1975</v>
      </c>
      <c r="H94" s="94" t="s">
        <v>12</v>
      </c>
      <c r="I94" s="94" t="s">
        <v>182</v>
      </c>
      <c r="J94" s="88" t="s">
        <v>1405</v>
      </c>
      <c r="K94" s="90" t="str">
        <f>CONCATENATE(SUBSTITUTE(Spotify!J102,",",";"),";",J94)</f>
        <v>;oldies;retro;love;groovy</v>
      </c>
      <c r="L94" s="86"/>
      <c r="M94" s="54" t="str">
        <f>Spotify!B102</f>
        <v>Forever</v>
      </c>
      <c r="N94" s="92" t="str">
        <f>Spotify!D102</f>
        <v>Eric Hutchinson</v>
      </c>
      <c r="O94" s="92">
        <f>Spotify!E102</f>
        <v>41737</v>
      </c>
      <c r="P94" s="54">
        <f>ROUND(Spotify!U102,0)</f>
        <v>144</v>
      </c>
      <c r="Q94" s="54">
        <f>ROUND(Spotify!L102*100,0)</f>
        <v>80</v>
      </c>
      <c r="R94" s="54">
        <f>ROUND(Spotify!K102*100,0)</f>
        <v>57</v>
      </c>
      <c r="S94" s="54">
        <f>Spotify!N102</f>
        <v>-6.4619999999999997</v>
      </c>
      <c r="T94" s="54">
        <f>ROUND(Spotify!T102*100,0)</f>
        <v>52</v>
      </c>
      <c r="U94" s="54">
        <f>ROUND(Spotify!F102/60000,1)</f>
        <v>3.7</v>
      </c>
      <c r="V94" s="54">
        <f>ROUND(Spotify!Q102*100,0)</f>
        <v>2</v>
      </c>
      <c r="W94" s="54">
        <f>Spotify!G102</f>
        <v>22</v>
      </c>
    </row>
    <row r="95" spans="1:23" ht="15" x14ac:dyDescent="0.3">
      <c r="A95" s="87">
        <f t="shared" ca="1" si="7"/>
        <v>0.73368028717322376</v>
      </c>
      <c r="B95" s="99" t="s">
        <v>1</v>
      </c>
      <c r="C95" s="97"/>
      <c r="D95" s="89" t="s">
        <v>186</v>
      </c>
      <c r="E95" s="97" t="s">
        <v>187</v>
      </c>
      <c r="F95" s="97"/>
      <c r="G95" s="98">
        <v>2005</v>
      </c>
      <c r="H95" s="97" t="s">
        <v>63</v>
      </c>
      <c r="I95" s="97" t="s">
        <v>43</v>
      </c>
      <c r="J95" s="88" t="s">
        <v>1555</v>
      </c>
      <c r="K95" s="90" t="str">
        <f>CONCATENATE(SUBSTITUTE(Spotify!J104,",",";"),";",J95)</f>
        <v>soft pop;alternative;acoustic;love;sweet</v>
      </c>
      <c r="L95" s="86"/>
      <c r="M95" s="54" t="str">
        <f>Spotify!B104</f>
        <v>Galway Girl</v>
      </c>
      <c r="N95" s="92" t="str">
        <f>Spotify!D104</f>
        <v>Ed Sheeran</v>
      </c>
      <c r="O95" s="92">
        <f>Spotify!E104</f>
        <v>42797</v>
      </c>
      <c r="P95" s="54">
        <f>ROUND(Spotify!U104,0)</f>
        <v>100</v>
      </c>
      <c r="Q95" s="54">
        <f>ROUND(Spotify!L104*100,0)</f>
        <v>88</v>
      </c>
      <c r="R95" s="54">
        <f>ROUND(Spotify!K104*100,0)</f>
        <v>62</v>
      </c>
      <c r="S95" s="54">
        <f>Spotify!N104</f>
        <v>-3.3740000000000001</v>
      </c>
      <c r="T95" s="54">
        <f>ROUND(Spotify!T104*100,0)</f>
        <v>78</v>
      </c>
      <c r="U95" s="54">
        <f>ROUND(Spotify!F104/60000,1)</f>
        <v>2.8</v>
      </c>
      <c r="V95" s="54">
        <f>ROUND(Spotify!Q104*100,0)</f>
        <v>7</v>
      </c>
      <c r="W95" s="54">
        <f>Spotify!G104</f>
        <v>82</v>
      </c>
    </row>
    <row r="96" spans="1:23" ht="15" x14ac:dyDescent="0.3">
      <c r="A96" s="87">
        <f t="shared" ca="1" si="7"/>
        <v>0.75170365135816641</v>
      </c>
      <c r="B96" s="99"/>
      <c r="C96" s="97" t="s">
        <v>94</v>
      </c>
      <c r="D96" s="89" t="s">
        <v>188</v>
      </c>
      <c r="E96" s="94" t="s">
        <v>571</v>
      </c>
      <c r="F96" s="97"/>
      <c r="G96" s="98">
        <v>1962</v>
      </c>
      <c r="H96" s="97" t="s">
        <v>63</v>
      </c>
      <c r="I96" s="97" t="s">
        <v>49</v>
      </c>
      <c r="J96" s="90" t="s">
        <v>1564</v>
      </c>
      <c r="K96" s="90" t="str">
        <f>CONCATENATE(SUBSTITUTE(Spotify!J105,",",";"),";",J96)</f>
        <v>;slow;love;acoustic;alternative;oldies;retro;waltz;folk</v>
      </c>
      <c r="L96" s="86"/>
      <c r="M96" s="54" t="str">
        <f>Spotify!B105</f>
        <v>Genie In a Bottle</v>
      </c>
      <c r="N96" s="92" t="str">
        <f>Spotify!D105</f>
        <v>Christina Aguilera</v>
      </c>
      <c r="O96" s="92">
        <f>Spotify!E105</f>
        <v>1999</v>
      </c>
      <c r="P96" s="54">
        <f>ROUND(Spotify!U105,0)</f>
        <v>176</v>
      </c>
      <c r="Q96" s="54">
        <f>ROUND(Spotify!L105*100,0)</f>
        <v>80</v>
      </c>
      <c r="R96" s="54">
        <f>ROUND(Spotify!K105*100,0)</f>
        <v>63</v>
      </c>
      <c r="S96" s="54">
        <f>Spotify!N105</f>
        <v>-6.9450000000000003</v>
      </c>
      <c r="T96" s="54">
        <f>ROUND(Spotify!T105*100,0)</f>
        <v>91</v>
      </c>
      <c r="U96" s="54">
        <f>ROUND(Spotify!F105/60000,1)</f>
        <v>3.6</v>
      </c>
      <c r="V96" s="54">
        <f>ROUND(Spotify!Q105*100,0)</f>
        <v>21</v>
      </c>
      <c r="W96" s="54">
        <f>Spotify!G105</f>
        <v>84</v>
      </c>
    </row>
    <row r="97" spans="1:23" ht="15" x14ac:dyDescent="0.3">
      <c r="A97" s="87">
        <f t="shared" ca="1" si="7"/>
        <v>0.65441778305766463</v>
      </c>
      <c r="B97" s="99"/>
      <c r="C97" s="97"/>
      <c r="D97" s="89" t="s">
        <v>190</v>
      </c>
      <c r="E97" s="97" t="s">
        <v>28</v>
      </c>
      <c r="F97" s="97"/>
      <c r="G97" s="98">
        <v>2005</v>
      </c>
      <c r="H97" s="97" t="s">
        <v>12</v>
      </c>
      <c r="I97" s="97" t="s">
        <v>29</v>
      </c>
      <c r="J97" s="88" t="s">
        <v>1367</v>
      </c>
      <c r="K97" s="90" t="str">
        <f>CONCATENATE(SUBSTITUTE(Spotify!J106,",",";"),";",J97)</f>
        <v>french house;electronic;electro;love;slow</v>
      </c>
      <c r="L97" s="86"/>
      <c r="M97" s="54" t="str">
        <f>Spotify!B106</f>
        <v>Get Lucky (feat. Pharrell Williams and Nile Rodgers)</v>
      </c>
      <c r="N97" s="92" t="str">
        <f>Spotify!D106</f>
        <v>Daft Punk;Pharrell Williams;Nile Rodgers</v>
      </c>
      <c r="O97" s="92">
        <f>Spotify!E106</f>
        <v>43441</v>
      </c>
      <c r="P97" s="54">
        <f>ROUND(Spotify!U106,0)</f>
        <v>116</v>
      </c>
      <c r="Q97" s="54">
        <f>ROUND(Spotify!L106*100,0)</f>
        <v>79</v>
      </c>
      <c r="R97" s="54">
        <f>ROUND(Spotify!K106*100,0)</f>
        <v>81</v>
      </c>
      <c r="S97" s="54">
        <f>Spotify!N106</f>
        <v>-9.4039999999999999</v>
      </c>
      <c r="T97" s="54">
        <f>ROUND(Spotify!T106*100,0)</f>
        <v>86</v>
      </c>
      <c r="U97" s="54">
        <f>ROUND(Spotify!F106/60000,1)</f>
        <v>6.2</v>
      </c>
      <c r="V97" s="54">
        <f>ROUND(Spotify!Q106*100,0)</f>
        <v>4</v>
      </c>
      <c r="W97" s="54">
        <f>Spotify!G106</f>
        <v>21</v>
      </c>
    </row>
    <row r="98" spans="1:23" s="53" customFormat="1" ht="15" x14ac:dyDescent="0.3">
      <c r="A98" s="87">
        <f t="shared" ca="1" si="7"/>
        <v>0.25710208828909797</v>
      </c>
      <c r="B98" s="93"/>
      <c r="C98" s="94"/>
      <c r="D98" s="95" t="s">
        <v>1335</v>
      </c>
      <c r="E98" s="94" t="s">
        <v>1336</v>
      </c>
      <c r="F98" s="94"/>
      <c r="G98" s="96">
        <v>2023</v>
      </c>
      <c r="H98" s="94" t="s">
        <v>13</v>
      </c>
      <c r="I98" s="94" t="s">
        <v>29</v>
      </c>
      <c r="J98" s="88" t="s">
        <v>1409</v>
      </c>
      <c r="K98" s="90" t="str">
        <f>CONCATENATE(SUBSTITUTE(Spotify!J108,",",";"),";",J98)</f>
        <v>acoustic pop;love;dance;groovy;fast</v>
      </c>
      <c r="L98" s="86"/>
      <c r="M98" s="54" t="str">
        <f>Spotify!B108</f>
        <v>Girls Just Wanna Have Fun - Acoustic</v>
      </c>
      <c r="N98" s="92" t="str">
        <f>Spotify!D108</f>
        <v>The Mayries</v>
      </c>
      <c r="O98" s="92">
        <f>Spotify!E108</f>
        <v>42839</v>
      </c>
      <c r="P98" s="54">
        <f>ROUND(Spotify!U108,0)</f>
        <v>186</v>
      </c>
      <c r="Q98" s="54">
        <f>ROUND(Spotify!L108*100,0)</f>
        <v>36</v>
      </c>
      <c r="R98" s="54">
        <f>ROUND(Spotify!K108*100,0)</f>
        <v>44</v>
      </c>
      <c r="S98" s="54">
        <f>Spotify!N108</f>
        <v>-11.448</v>
      </c>
      <c r="T98" s="54">
        <f>ROUND(Spotify!T108*100,0)</f>
        <v>36</v>
      </c>
      <c r="U98" s="54">
        <f>ROUND(Spotify!F108/60000,1)</f>
        <v>2.9</v>
      </c>
      <c r="V98" s="54">
        <f>ROUND(Spotify!Q108*100,0)</f>
        <v>74</v>
      </c>
      <c r="W98" s="54">
        <f>Spotify!G108</f>
        <v>51</v>
      </c>
    </row>
    <row r="99" spans="1:23" s="53" customFormat="1" ht="15" x14ac:dyDescent="0.3">
      <c r="A99" s="87">
        <f t="shared" ca="1" si="7"/>
        <v>0.48554712753289364</v>
      </c>
      <c r="B99" s="93"/>
      <c r="C99" s="94" t="s">
        <v>77</v>
      </c>
      <c r="D99" s="95" t="s">
        <v>193</v>
      </c>
      <c r="E99" s="94" t="s">
        <v>194</v>
      </c>
      <c r="F99" s="94" t="s">
        <v>195</v>
      </c>
      <c r="G99" s="96">
        <v>1954</v>
      </c>
      <c r="H99" s="94" t="s">
        <v>13</v>
      </c>
      <c r="I99" s="94" t="s">
        <v>196</v>
      </c>
      <c r="J99" s="88" t="s">
        <v>1447</v>
      </c>
      <c r="K99" s="90" t="str">
        <f>CONCATENATE(SUBSTITUTE(Spotify!J109,",",";"),";",J99)</f>
        <v>pop;jazz;love;groovy;dance;oldies;retro</v>
      </c>
      <c r="L99" s="86"/>
      <c r="M99" s="54" t="str">
        <f>Spotify!B109</f>
        <v>Give A Little More</v>
      </c>
      <c r="N99" s="92" t="str">
        <f>Spotify!D109</f>
        <v>Maroon 5</v>
      </c>
      <c r="O99" s="92">
        <f>Spotify!E109</f>
        <v>2010</v>
      </c>
      <c r="P99" s="54">
        <f>ROUND(Spotify!U109,0)</f>
        <v>118</v>
      </c>
      <c r="Q99" s="54">
        <f>ROUND(Spotify!L109*100,0)</f>
        <v>82</v>
      </c>
      <c r="R99" s="54">
        <f>ROUND(Spotify!K109*100,0)</f>
        <v>75</v>
      </c>
      <c r="S99" s="54">
        <f>Spotify!N109</f>
        <v>-4.3010000000000002</v>
      </c>
      <c r="T99" s="54">
        <f>ROUND(Spotify!T109*100,0)</f>
        <v>94</v>
      </c>
      <c r="U99" s="54">
        <f>ROUND(Spotify!F109/60000,1)</f>
        <v>3</v>
      </c>
      <c r="V99" s="54">
        <f>ROUND(Spotify!Q109*100,0)</f>
        <v>0</v>
      </c>
      <c r="W99" s="54">
        <f>Spotify!G109</f>
        <v>44</v>
      </c>
    </row>
    <row r="100" spans="1:23" ht="15" x14ac:dyDescent="0.3">
      <c r="A100" s="87"/>
      <c r="B100" s="93"/>
      <c r="C100" s="94"/>
      <c r="D100" s="95" t="s">
        <v>1687</v>
      </c>
      <c r="E100" s="94" t="s">
        <v>1689</v>
      </c>
      <c r="F100" s="94"/>
      <c r="G100" s="96">
        <v>2000</v>
      </c>
      <c r="H100" s="94" t="s">
        <v>49</v>
      </c>
      <c r="I100" s="94"/>
      <c r="J100" s="88"/>
      <c r="K100" s="90" t="e">
        <f>CONCATENATE(SUBSTITUTE(Spotify!#REF!,",",";"),";",J100)</f>
        <v>#REF!</v>
      </c>
      <c r="L100" s="86"/>
      <c r="M100" s="54" t="e">
        <f>Spotify!#REF!</f>
        <v>#REF!</v>
      </c>
      <c r="N100" s="92" t="e">
        <f>Spotify!#REF!</f>
        <v>#REF!</v>
      </c>
      <c r="O100" s="92" t="e">
        <f>Spotify!#REF!</f>
        <v>#REF!</v>
      </c>
      <c r="P100" s="54" t="e">
        <f>ROUND(Spotify!#REF!,0)</f>
        <v>#REF!</v>
      </c>
      <c r="Q100" s="54" t="e">
        <f>ROUND(Spotify!#REF!*100,0)</f>
        <v>#REF!</v>
      </c>
      <c r="R100" s="54" t="e">
        <f>ROUND(Spotify!#REF!*100,0)</f>
        <v>#REF!</v>
      </c>
      <c r="S100" s="54" t="e">
        <f>Spotify!#REF!</f>
        <v>#REF!</v>
      </c>
      <c r="T100" s="54" t="e">
        <f>ROUND(Spotify!#REF!*100,0)</f>
        <v>#REF!</v>
      </c>
      <c r="U100" s="54" t="e">
        <f>ROUND(Spotify!#REF!/60000,1)</f>
        <v>#REF!</v>
      </c>
      <c r="V100" s="54" t="e">
        <f>ROUND(Spotify!#REF!*100,0)</f>
        <v>#REF!</v>
      </c>
      <c r="W100" s="54" t="e">
        <f>Spotify!#REF!</f>
        <v>#REF!</v>
      </c>
    </row>
    <row r="101" spans="1:23" ht="15" x14ac:dyDescent="0.3">
      <c r="A101" s="87">
        <f ca="1">RAND()</f>
        <v>0.10872480788925809</v>
      </c>
      <c r="B101" s="93" t="s">
        <v>1</v>
      </c>
      <c r="C101" s="94" t="s">
        <v>21</v>
      </c>
      <c r="D101" s="89" t="s">
        <v>633</v>
      </c>
      <c r="E101" s="94" t="s">
        <v>634</v>
      </c>
      <c r="F101" s="94"/>
      <c r="G101" s="96">
        <v>1966</v>
      </c>
      <c r="H101" s="94" t="s">
        <v>63</v>
      </c>
      <c r="I101" s="94" t="s">
        <v>12</v>
      </c>
      <c r="J101" s="88" t="s">
        <v>1572</v>
      </c>
      <c r="K101" s="90" t="str">
        <f>CONCATENATE(SUBSTITUTE(Spotify!J110,",",";"),";",J101)</f>
        <v>punk;pop punk;alternative;groovy;dance;oldies;retro;folk;slow</v>
      </c>
      <c r="L101" s="86"/>
      <c r="M101" s="54" t="str">
        <f>Spotify!B110</f>
        <v>Good Riddance (Time of Your Life)</v>
      </c>
      <c r="N101" s="92" t="str">
        <f>Spotify!D110</f>
        <v>Green Day</v>
      </c>
      <c r="O101" s="92">
        <f>Spotify!E110</f>
        <v>35717</v>
      </c>
      <c r="P101" s="54">
        <f>ROUND(Spotify!U110,0)</f>
        <v>95</v>
      </c>
      <c r="Q101" s="54">
        <f>ROUND(Spotify!L110*100,0)</f>
        <v>43</v>
      </c>
      <c r="R101" s="54">
        <f>ROUND(Spotify!K110*100,0)</f>
        <v>48</v>
      </c>
      <c r="S101" s="54">
        <f>Spotify!N110</f>
        <v>-7.8440000000000003</v>
      </c>
      <c r="T101" s="54">
        <f>ROUND(Spotify!T110*100,0)</f>
        <v>65</v>
      </c>
      <c r="U101" s="54">
        <f>ROUND(Spotify!F110/60000,1)</f>
        <v>2.6</v>
      </c>
      <c r="V101" s="54">
        <f>ROUND(Spotify!Q110*100,0)</f>
        <v>18</v>
      </c>
      <c r="W101" s="54">
        <f>Spotify!G110</f>
        <v>82</v>
      </c>
    </row>
    <row r="102" spans="1:23" ht="15" x14ac:dyDescent="0.3">
      <c r="A102" s="87">
        <f ca="1">RAND()</f>
        <v>0.67714902554944978</v>
      </c>
      <c r="B102" s="93" t="s">
        <v>1</v>
      </c>
      <c r="C102" s="94" t="s">
        <v>21</v>
      </c>
      <c r="D102" s="89" t="s">
        <v>197</v>
      </c>
      <c r="E102" s="97" t="s">
        <v>16</v>
      </c>
      <c r="F102" s="97"/>
      <c r="G102" s="98">
        <v>2014</v>
      </c>
      <c r="H102" s="97" t="s">
        <v>12</v>
      </c>
      <c r="I102" s="97" t="s">
        <v>13</v>
      </c>
      <c r="J102" s="88" t="s">
        <v>1383</v>
      </c>
      <c r="K102" s="90" t="str">
        <f>CONCATENATE(SUBSTITUTE(Spotify!J111,",",";"),";",J102)</f>
        <v>;love;dance;fast</v>
      </c>
      <c r="L102" s="86"/>
      <c r="M102" s="54" t="str">
        <f>Spotify!B111</f>
        <v>Goodnight Goodbye</v>
      </c>
      <c r="N102" s="92" t="str">
        <f>Spotify!D111</f>
        <v>Eric Hutchinson</v>
      </c>
      <c r="O102" s="92">
        <f>Spotify!E111</f>
        <v>41737</v>
      </c>
      <c r="P102" s="54">
        <f>ROUND(Spotify!U111,0)</f>
        <v>118</v>
      </c>
      <c r="Q102" s="54">
        <f>ROUND(Spotify!L111*100,0)</f>
        <v>63</v>
      </c>
      <c r="R102" s="54">
        <f>ROUND(Spotify!K111*100,0)</f>
        <v>68</v>
      </c>
      <c r="S102" s="54">
        <f>Spotify!N111</f>
        <v>-7.0640000000000001</v>
      </c>
      <c r="T102" s="54">
        <f>ROUND(Spotify!T111*100,0)</f>
        <v>60</v>
      </c>
      <c r="U102" s="54">
        <f>ROUND(Spotify!F111/60000,1)</f>
        <v>3.2</v>
      </c>
      <c r="V102" s="54">
        <f>ROUND(Spotify!Q111*100,0)</f>
        <v>2</v>
      </c>
      <c r="W102" s="54">
        <f>Spotify!G111</f>
        <v>23</v>
      </c>
    </row>
    <row r="103" spans="1:23" ht="15" x14ac:dyDescent="0.3">
      <c r="A103" s="87">
        <f ca="1">RAND()</f>
        <v>0.54008722642650919</v>
      </c>
      <c r="B103" s="93"/>
      <c r="C103" s="94" t="s">
        <v>46</v>
      </c>
      <c r="D103" s="89" t="s">
        <v>198</v>
      </c>
      <c r="E103" s="97" t="s">
        <v>140</v>
      </c>
      <c r="F103" s="97" t="s">
        <v>199</v>
      </c>
      <c r="G103" s="98">
        <v>1989</v>
      </c>
      <c r="H103" s="97" t="s">
        <v>12</v>
      </c>
      <c r="I103" s="97" t="s">
        <v>200</v>
      </c>
      <c r="J103" s="88" t="s">
        <v>1410</v>
      </c>
      <c r="K103" s="90" t="str">
        <f>CONCATENATE(SUBSTITUTE(Spotify!J112,",",";"),";",J103)</f>
        <v>christmas;big band;adult standards;swing music;jazz;vocal jazz;alternative;acoustic;oldies;retro;love</v>
      </c>
      <c r="L103" s="86"/>
      <c r="M103" s="54" t="str">
        <f>Spotify!B112</f>
        <v>I've Got You Under My Skin</v>
      </c>
      <c r="N103" s="92" t="str">
        <f>Spotify!D112</f>
        <v>Frank Sinatra</v>
      </c>
      <c r="O103" s="92">
        <f>Spotify!E112</f>
        <v>42111</v>
      </c>
      <c r="P103" s="54">
        <f>ROUND(Spotify!U112,0)</f>
        <v>127</v>
      </c>
      <c r="Q103" s="54">
        <f>ROUND(Spotify!L112*100,0)</f>
        <v>37</v>
      </c>
      <c r="R103" s="54">
        <f>ROUND(Spotify!K112*100,0)</f>
        <v>59</v>
      </c>
      <c r="S103" s="54">
        <f>Spotify!N112</f>
        <v>-7.3979999999999997</v>
      </c>
      <c r="T103" s="54">
        <f>ROUND(Spotify!T112*100,0)</f>
        <v>63</v>
      </c>
      <c r="U103" s="54">
        <f>ROUND(Spotify!F112/60000,1)</f>
        <v>3.7</v>
      </c>
      <c r="V103" s="54">
        <f>ROUND(Spotify!Q112*100,0)</f>
        <v>51</v>
      </c>
      <c r="W103" s="54">
        <f>Spotify!G112</f>
        <v>57</v>
      </c>
    </row>
    <row r="104" spans="1:23" ht="15" x14ac:dyDescent="0.3">
      <c r="A104" s="87">
        <f ca="1">RAND()</f>
        <v>1.6397266005098166E-3</v>
      </c>
      <c r="B104" s="93" t="s">
        <v>1</v>
      </c>
      <c r="C104" s="94"/>
      <c r="D104" s="95" t="s">
        <v>772</v>
      </c>
      <c r="E104" s="94" t="s">
        <v>338</v>
      </c>
      <c r="F104" s="94"/>
      <c r="G104" s="96">
        <v>2017</v>
      </c>
      <c r="H104" s="94" t="s">
        <v>13</v>
      </c>
      <c r="I104" s="94" t="s">
        <v>63</v>
      </c>
      <c r="J104" s="88" t="s">
        <v>1401</v>
      </c>
      <c r="K104" s="90" t="str">
        <f>CONCATENATE(SUBSTITUTE(Spotify!J113,",",";"),";",J104)</f>
        <v>;alternative;dance;fast;love</v>
      </c>
      <c r="L104" s="86"/>
      <c r="M104" s="54" t="str">
        <f>Spotify!B113</f>
        <v>Grayscale</v>
      </c>
      <c r="N104" s="92" t="str">
        <f>Spotify!D113</f>
        <v>Skye Zentz</v>
      </c>
      <c r="O104" s="92">
        <f>Spotify!E113</f>
        <v>41081</v>
      </c>
      <c r="P104" s="54">
        <f>ROUND(Spotify!U113,0)</f>
        <v>83</v>
      </c>
      <c r="Q104" s="54">
        <f>ROUND(Spotify!L113*100,0)</f>
        <v>31</v>
      </c>
      <c r="R104" s="54">
        <f>ROUND(Spotify!K113*100,0)</f>
        <v>54</v>
      </c>
      <c r="S104" s="54">
        <f>Spotify!N113</f>
        <v>-7.0049999999999999</v>
      </c>
      <c r="T104" s="54">
        <f>ROUND(Spotify!T113*100,0)</f>
        <v>32</v>
      </c>
      <c r="U104" s="54">
        <f>ROUND(Spotify!F113/60000,1)</f>
        <v>2.8</v>
      </c>
      <c r="V104" s="54">
        <f>ROUND(Spotify!Q113*100,0)</f>
        <v>87</v>
      </c>
      <c r="W104" s="54">
        <f>Spotify!G113</f>
        <v>0</v>
      </c>
    </row>
    <row r="105" spans="1:23" ht="15" x14ac:dyDescent="0.3">
      <c r="A105" s="87">
        <f ca="1">RAND()</f>
        <v>0.98017856168436512</v>
      </c>
      <c r="B105" s="93" t="s">
        <v>1</v>
      </c>
      <c r="C105" s="94" t="s">
        <v>10</v>
      </c>
      <c r="D105" s="95" t="s">
        <v>201</v>
      </c>
      <c r="E105" s="94" t="s">
        <v>202</v>
      </c>
      <c r="F105" s="94"/>
      <c r="G105" s="96">
        <v>1999</v>
      </c>
      <c r="H105" s="94" t="s">
        <v>13</v>
      </c>
      <c r="I105" s="94" t="s">
        <v>203</v>
      </c>
      <c r="J105" s="88" t="s">
        <v>1411</v>
      </c>
      <c r="K105" s="90" t="str">
        <f>CONCATENATE(SUBSTITUTE(Spotify!J114,",",";"),";",J105)</f>
        <v>rockabilly;rock and roll;boogie-woogie;love;dance;fast;groovy</v>
      </c>
      <c r="L105" s="86"/>
      <c r="M105" s="54" t="str">
        <f>Spotify!B114</f>
        <v>Great Balls of Fire</v>
      </c>
      <c r="N105" s="92" t="str">
        <f>Spotify!D114</f>
        <v>Jerry Lee Lewis</v>
      </c>
      <c r="O105" s="92">
        <f>Spotify!E114</f>
        <v>41404</v>
      </c>
      <c r="P105" s="54">
        <f>ROUND(Spotify!U114,0)</f>
        <v>80</v>
      </c>
      <c r="Q105" s="54">
        <f>ROUND(Spotify!L114*100,0)</f>
        <v>63</v>
      </c>
      <c r="R105" s="54">
        <f>ROUND(Spotify!K114*100,0)</f>
        <v>59</v>
      </c>
      <c r="S105" s="54">
        <f>Spotify!N114</f>
        <v>-10.14</v>
      </c>
      <c r="T105" s="54">
        <f>ROUND(Spotify!T114*100,0)</f>
        <v>91</v>
      </c>
      <c r="U105" s="54">
        <f>ROUND(Spotify!F114/60000,1)</f>
        <v>1.9</v>
      </c>
      <c r="V105" s="54">
        <f>ROUND(Spotify!Q114*100,0)</f>
        <v>55</v>
      </c>
      <c r="W105" s="54">
        <f>Spotify!G114</f>
        <v>0</v>
      </c>
    </row>
    <row r="106" spans="1:23" ht="15" x14ac:dyDescent="0.3">
      <c r="A106" s="87"/>
      <c r="B106" s="93" t="s">
        <v>1</v>
      </c>
      <c r="C106" s="94"/>
      <c r="D106" s="95" t="s">
        <v>1767</v>
      </c>
      <c r="E106" s="94" t="s">
        <v>204</v>
      </c>
      <c r="F106" s="94"/>
      <c r="G106" s="96">
        <v>2013</v>
      </c>
      <c r="H106" s="94" t="s">
        <v>118</v>
      </c>
      <c r="I106" s="94"/>
      <c r="J106" s="88"/>
      <c r="K106" s="90" t="str">
        <f>CONCATENATE(SUBSTITUTE(Spotify!J115,",",";"),";",J106)</f>
        <v>;</v>
      </c>
      <c r="L106" s="86"/>
      <c r="M106" s="54" t="str">
        <f>Spotify!B115</f>
        <v>Green Eyes</v>
      </c>
      <c r="N106" s="92" t="str">
        <f>Spotify!D115</f>
        <v>Coldplay</v>
      </c>
      <c r="O106" s="92">
        <f>Spotify!E115</f>
        <v>37495</v>
      </c>
      <c r="P106" s="54">
        <f>ROUND(Spotify!U115,0)</f>
        <v>130</v>
      </c>
      <c r="Q106" s="54">
        <f>ROUND(Spotify!L115*100,0)</f>
        <v>41</v>
      </c>
      <c r="R106" s="54">
        <f>ROUND(Spotify!K115*100,0)</f>
        <v>61</v>
      </c>
      <c r="S106" s="54">
        <f>Spotify!N115</f>
        <v>-8.6069999999999993</v>
      </c>
      <c r="T106" s="54">
        <f>ROUND(Spotify!T115*100,0)</f>
        <v>23</v>
      </c>
      <c r="U106" s="54">
        <f>ROUND(Spotify!F115/60000,1)</f>
        <v>3.7</v>
      </c>
      <c r="V106" s="54">
        <f>ROUND(Spotify!Q115*100,0)</f>
        <v>54</v>
      </c>
      <c r="W106" s="54">
        <f>Spotify!G115</f>
        <v>68</v>
      </c>
    </row>
    <row r="107" spans="1:23" ht="15" x14ac:dyDescent="0.3">
      <c r="A107" s="87">
        <f t="shared" ref="A107:A119" ca="1" si="8">RAND()</f>
        <v>0.74729393611598227</v>
      </c>
      <c r="B107" s="93"/>
      <c r="C107" s="94" t="s">
        <v>17</v>
      </c>
      <c r="D107" s="95" t="s">
        <v>600</v>
      </c>
      <c r="E107" s="94" t="s">
        <v>138</v>
      </c>
      <c r="F107" s="94"/>
      <c r="G107" s="96">
        <v>1979</v>
      </c>
      <c r="H107" s="94" t="s">
        <v>13</v>
      </c>
      <c r="I107" s="94"/>
      <c r="J107" s="88" t="s">
        <v>1412</v>
      </c>
      <c r="K107" s="90" t="str">
        <f>CONCATENATE(SUBSTITUTE(Spotify!J116,",",";"),";",J107)</f>
        <v>soft rock;yacht rock;retro;oldies;dance;groovy;love</v>
      </c>
      <c r="L107" s="86"/>
      <c r="M107" s="54" t="str">
        <f>Spotify!B116</f>
        <v>Guitar Man</v>
      </c>
      <c r="N107" s="92" t="str">
        <f>Spotify!D116</f>
        <v>Bread</v>
      </c>
      <c r="O107" s="92">
        <f>Spotify!E116</f>
        <v>1972</v>
      </c>
      <c r="P107" s="54">
        <f>ROUND(Spotify!U116,0)</f>
        <v>143</v>
      </c>
      <c r="Q107" s="54">
        <f>ROUND(Spotify!L116*100,0)</f>
        <v>51</v>
      </c>
      <c r="R107" s="54">
        <f>ROUND(Spotify!K116*100,0)</f>
        <v>55</v>
      </c>
      <c r="S107" s="54">
        <f>Spotify!N116</f>
        <v>-13.271000000000001</v>
      </c>
      <c r="T107" s="54">
        <f>ROUND(Spotify!T116*100,0)</f>
        <v>51</v>
      </c>
      <c r="U107" s="54">
        <f>ROUND(Spotify!F116/60000,1)</f>
        <v>3.8</v>
      </c>
      <c r="V107" s="54">
        <f>ROUND(Spotify!Q116*100,0)</f>
        <v>14</v>
      </c>
      <c r="W107" s="54">
        <f>Spotify!G116</f>
        <v>69</v>
      </c>
    </row>
    <row r="108" spans="1:23" ht="15" x14ac:dyDescent="0.3">
      <c r="A108" s="87">
        <f t="shared" ca="1" si="8"/>
        <v>0.27872241144045229</v>
      </c>
      <c r="B108" s="93" t="s">
        <v>1</v>
      </c>
      <c r="C108" s="94" t="s">
        <v>46</v>
      </c>
      <c r="D108" s="95" t="s">
        <v>651</v>
      </c>
      <c r="E108" s="94" t="s">
        <v>649</v>
      </c>
      <c r="F108" s="94" t="s">
        <v>650</v>
      </c>
      <c r="G108" s="96">
        <v>1983</v>
      </c>
      <c r="H108" s="94" t="s">
        <v>13</v>
      </c>
      <c r="I108" s="94" t="s">
        <v>203</v>
      </c>
      <c r="J108" s="88" t="s">
        <v>1413</v>
      </c>
      <c r="K108" s="90" t="str">
        <f>CONCATENATE(SUBSTITUTE(Spotify!J117,",",";"),";",J108)</f>
        <v>singer-songwriter;acoustic;alternative;love;retro;oldies</v>
      </c>
      <c r="L108" s="86"/>
      <c r="M108" s="54" t="str">
        <f>Spotify!B117</f>
        <v>Hallelujah</v>
      </c>
      <c r="N108" s="92" t="str">
        <f>Spotify!D117</f>
        <v>Rufus Wainwright</v>
      </c>
      <c r="O108" s="92">
        <f>Spotify!E117</f>
        <v>36892</v>
      </c>
      <c r="P108" s="54">
        <f>ROUND(Spotify!U117,0)</f>
        <v>73</v>
      </c>
      <c r="Q108" s="54">
        <f>ROUND(Spotify!L117*100,0)</f>
        <v>20</v>
      </c>
      <c r="R108" s="54">
        <f>ROUND(Spotify!K117*100,0)</f>
        <v>34</v>
      </c>
      <c r="S108" s="54">
        <f>Spotify!N117</f>
        <v>-7.5179999999999998</v>
      </c>
      <c r="T108" s="54">
        <f>ROUND(Spotify!T117*100,0)</f>
        <v>44</v>
      </c>
      <c r="U108" s="54">
        <f>ROUND(Spotify!F117/60000,1)</f>
        <v>4.0999999999999996</v>
      </c>
      <c r="V108" s="54">
        <f>ROUND(Spotify!Q117*100,0)</f>
        <v>88</v>
      </c>
      <c r="W108" s="54">
        <f>Spotify!G117</f>
        <v>61</v>
      </c>
    </row>
    <row r="109" spans="1:23" ht="15" x14ac:dyDescent="0.3">
      <c r="A109" s="87">
        <f t="shared" ca="1" si="8"/>
        <v>0.8356664474280896</v>
      </c>
      <c r="B109" s="99" t="s">
        <v>1</v>
      </c>
      <c r="C109" s="97" t="s">
        <v>17</v>
      </c>
      <c r="D109" s="89" t="s">
        <v>205</v>
      </c>
      <c r="E109" s="97" t="s">
        <v>206</v>
      </c>
      <c r="F109" s="97"/>
      <c r="G109" s="98">
        <v>2010</v>
      </c>
      <c r="H109" s="97" t="s">
        <v>118</v>
      </c>
      <c r="I109" s="97"/>
      <c r="J109" s="90" t="s">
        <v>1401</v>
      </c>
      <c r="K109" s="90" t="str">
        <f>CONCATENATE(SUBSTITUTE(Spotify!J118,",",";"),";",J109)</f>
        <v>;alternative;dance;fast;love</v>
      </c>
      <c r="L109" s="86"/>
      <c r="M109" s="54" t="str">
        <f>Spotify!B118</f>
        <v>Halo</v>
      </c>
      <c r="N109" s="92" t="str">
        <f>Spotify!D118</f>
        <v>Beyoncé</v>
      </c>
      <c r="O109" s="92">
        <f>Spotify!E118</f>
        <v>39769</v>
      </c>
      <c r="P109" s="54">
        <f>ROUND(Spotify!U118,0)</f>
        <v>80</v>
      </c>
      <c r="Q109" s="54">
        <f>ROUND(Spotify!L118*100,0)</f>
        <v>72</v>
      </c>
      <c r="R109" s="54">
        <f>ROUND(Spotify!K118*100,0)</f>
        <v>51</v>
      </c>
      <c r="S109" s="54">
        <f>Spotify!N118</f>
        <v>-5.9080000000000004</v>
      </c>
      <c r="T109" s="54">
        <f>ROUND(Spotify!T118*100,0)</f>
        <v>47</v>
      </c>
      <c r="U109" s="54">
        <f>ROUND(Spotify!F118/60000,1)</f>
        <v>4.4000000000000004</v>
      </c>
      <c r="V109" s="54">
        <f>ROUND(Spotify!Q118*100,0)</f>
        <v>27</v>
      </c>
      <c r="W109" s="54">
        <f>Spotify!G118</f>
        <v>76</v>
      </c>
    </row>
    <row r="110" spans="1:23" ht="15" x14ac:dyDescent="0.3">
      <c r="A110" s="87">
        <f t="shared" ca="1" si="8"/>
        <v>0.54842394703559094</v>
      </c>
      <c r="B110" s="93" t="s">
        <v>1</v>
      </c>
      <c r="C110" s="94"/>
      <c r="D110" s="100" t="s">
        <v>207</v>
      </c>
      <c r="E110" s="94" t="s">
        <v>208</v>
      </c>
      <c r="F110" s="94"/>
      <c r="G110" s="96">
        <v>1997</v>
      </c>
      <c r="H110" s="94" t="s">
        <v>12</v>
      </c>
      <c r="I110" s="94" t="s">
        <v>209</v>
      </c>
      <c r="J110" s="88" t="s">
        <v>1398</v>
      </c>
      <c r="K110" s="90" t="str">
        <f>CONCATENATE(SUBSTITUTE(Spotify!J120,",",";"),";",J110)</f>
        <v>classic rock;folk rock;singer-songwriter;roots rock;alternative;acoustic</v>
      </c>
      <c r="L110" s="86"/>
      <c r="M110" s="54" t="str">
        <f>Spotify!B120</f>
        <v>Harvest Moon</v>
      </c>
      <c r="N110" s="92" t="str">
        <f>Spotify!D120</f>
        <v>Neil Young</v>
      </c>
      <c r="O110" s="92">
        <f>Spotify!E120</f>
        <v>38306</v>
      </c>
      <c r="P110" s="54">
        <f>ROUND(Spotify!U120,0)</f>
        <v>113</v>
      </c>
      <c r="Q110" s="54">
        <f>ROUND(Spotify!L120*100,0)</f>
        <v>31</v>
      </c>
      <c r="R110" s="54">
        <f>ROUND(Spotify!K120*100,0)</f>
        <v>65</v>
      </c>
      <c r="S110" s="54">
        <f>Spotify!N120</f>
        <v>-12.430999999999999</v>
      </c>
      <c r="T110" s="54">
        <f>ROUND(Spotify!T120*100,0)</f>
        <v>41</v>
      </c>
      <c r="U110" s="54">
        <f>ROUND(Spotify!F120/60000,1)</f>
        <v>5.0999999999999996</v>
      </c>
      <c r="V110" s="54">
        <f>ROUND(Spotify!Q120*100,0)</f>
        <v>53</v>
      </c>
      <c r="W110" s="54">
        <f>Spotify!G120</f>
        <v>63</v>
      </c>
    </row>
    <row r="111" spans="1:23" ht="15" x14ac:dyDescent="0.3">
      <c r="A111" s="87">
        <f t="shared" ca="1" si="8"/>
        <v>0.23821423400356356</v>
      </c>
      <c r="B111" s="93" t="s">
        <v>1</v>
      </c>
      <c r="C111" s="94" t="s">
        <v>14</v>
      </c>
      <c r="D111" s="89" t="s">
        <v>567</v>
      </c>
      <c r="E111" s="97" t="s">
        <v>16</v>
      </c>
      <c r="F111" s="97"/>
      <c r="G111" s="98">
        <v>2014</v>
      </c>
      <c r="H111" s="97" t="s">
        <v>12</v>
      </c>
      <c r="I111" s="97" t="s">
        <v>63</v>
      </c>
      <c r="J111" s="88" t="s">
        <v>1387</v>
      </c>
      <c r="K111" s="90" t="str">
        <f>CONCATENATE(SUBSTITUTE(Spotify!J121,",",";"),";",J111)</f>
        <v>;acoustic;love;dance;groovy</v>
      </c>
      <c r="L111" s="86"/>
      <c r="M111" s="54" t="str">
        <f>Spotify!B121</f>
        <v>Havana - No Rap Version</v>
      </c>
      <c r="N111" s="92" t="str">
        <f>Spotify!D121</f>
        <v>Camila Cabello</v>
      </c>
      <c r="O111" s="92">
        <f>Spotify!E121</f>
        <v>43133</v>
      </c>
      <c r="P111" s="54">
        <f>ROUND(Spotify!U121,0)</f>
        <v>106</v>
      </c>
      <c r="Q111" s="54">
        <f>ROUND(Spotify!L121*100,0)</f>
        <v>50</v>
      </c>
      <c r="R111" s="54">
        <f>ROUND(Spotify!K121*100,0)</f>
        <v>75</v>
      </c>
      <c r="S111" s="54">
        <f>Spotify!N121</f>
        <v>-5.101</v>
      </c>
      <c r="T111" s="54">
        <f>ROUND(Spotify!T121*100,0)</f>
        <v>44</v>
      </c>
      <c r="U111" s="54">
        <f>ROUND(Spotify!F121/60000,1)</f>
        <v>2.9</v>
      </c>
      <c r="V111" s="54">
        <f>ROUND(Spotify!Q121*100,0)</f>
        <v>23</v>
      </c>
      <c r="W111" s="54">
        <f>Spotify!G121</f>
        <v>0</v>
      </c>
    </row>
    <row r="112" spans="1:23" ht="15" x14ac:dyDescent="0.3">
      <c r="A112" s="87">
        <f t="shared" ca="1" si="8"/>
        <v>0.86906382777160418</v>
      </c>
      <c r="B112" s="93" t="s">
        <v>1</v>
      </c>
      <c r="C112" s="94" t="s">
        <v>37</v>
      </c>
      <c r="D112" s="95" t="s">
        <v>211</v>
      </c>
      <c r="E112" s="94" t="s">
        <v>194</v>
      </c>
      <c r="F112" s="94"/>
      <c r="G112" s="96">
        <v>1956</v>
      </c>
      <c r="H112" s="94" t="s">
        <v>13</v>
      </c>
      <c r="I112" s="94" t="s">
        <v>196</v>
      </c>
      <c r="J112" s="88" t="s">
        <v>1447</v>
      </c>
      <c r="K112" s="90" t="str">
        <f>CONCATENATE(SUBSTITUTE(Spotify!J122,",",";"),";",J112)</f>
        <v>classic rock;southern rock;country rock;jazz;love;groovy;dance;oldies;retro</v>
      </c>
      <c r="L112" s="86"/>
      <c r="M112" s="54" t="str">
        <f>Spotify!B122</f>
        <v>Have You Ever Seen The Rain</v>
      </c>
      <c r="N112" s="92" t="str">
        <f>Spotify!D122</f>
        <v>Creedence Clearwater Revival</v>
      </c>
      <c r="O112" s="92">
        <f>Spotify!E122</f>
        <v>25909</v>
      </c>
      <c r="P112" s="54">
        <f>ROUND(Spotify!U122,0)</f>
        <v>116</v>
      </c>
      <c r="Q112" s="54">
        <f>ROUND(Spotify!L122*100,0)</f>
        <v>47</v>
      </c>
      <c r="R112" s="54">
        <f>ROUND(Spotify!K122*100,0)</f>
        <v>74</v>
      </c>
      <c r="S112" s="54">
        <f>Spotify!N122</f>
        <v>-13.154</v>
      </c>
      <c r="T112" s="54">
        <f>ROUND(Spotify!T122*100,0)</f>
        <v>89</v>
      </c>
      <c r="U112" s="54">
        <f>ROUND(Spotify!F122/60000,1)</f>
        <v>2.7</v>
      </c>
      <c r="V112" s="54">
        <f>ROUND(Spotify!Q122*100,0)</f>
        <v>9</v>
      </c>
      <c r="W112" s="54">
        <f>Spotify!G122</f>
        <v>70</v>
      </c>
    </row>
    <row r="113" spans="1:23" ht="15" x14ac:dyDescent="0.3">
      <c r="A113" s="87">
        <f t="shared" ca="1" si="8"/>
        <v>0.81693680836219262</v>
      </c>
      <c r="B113" s="93" t="s">
        <v>1</v>
      </c>
      <c r="C113" s="94" t="s">
        <v>46</v>
      </c>
      <c r="D113" s="95" t="s">
        <v>212</v>
      </c>
      <c r="E113" s="94" t="s">
        <v>213</v>
      </c>
      <c r="F113" s="94"/>
      <c r="G113" s="96">
        <v>2012</v>
      </c>
      <c r="H113" s="94" t="s">
        <v>63</v>
      </c>
      <c r="I113" s="94"/>
      <c r="J113" s="88" t="s">
        <v>1565</v>
      </c>
      <c r="K113" s="90" t="str">
        <f>CONCATENATE(SUBSTITUTE(Spotify!J123,",",";"),";",J113)</f>
        <v>classic rock;folk rock;singer-songwriter;roots rock;acoustic;alternative;love;sweet;folk;waltz</v>
      </c>
      <c r="L113" s="86"/>
      <c r="M113" s="54" t="str">
        <f>Spotify!B123</f>
        <v>Heart of Gold</v>
      </c>
      <c r="N113" s="92" t="str">
        <f>Spotify!D123</f>
        <v>Neil Young</v>
      </c>
      <c r="O113" s="92">
        <f>Spotify!E123</f>
        <v>26330</v>
      </c>
      <c r="P113" s="54">
        <f>ROUND(Spotify!U123,0)</f>
        <v>171</v>
      </c>
      <c r="Q113" s="54">
        <f>ROUND(Spotify!L123*100,0)</f>
        <v>40</v>
      </c>
      <c r="R113" s="54">
        <f>ROUND(Spotify!K123*100,0)</f>
        <v>54</v>
      </c>
      <c r="S113" s="54">
        <f>Spotify!N123</f>
        <v>-13.547000000000001</v>
      </c>
      <c r="T113" s="54">
        <f>ROUND(Spotify!T123*100,0)</f>
        <v>83</v>
      </c>
      <c r="U113" s="54">
        <f>ROUND(Spotify!F123/60000,1)</f>
        <v>3.1</v>
      </c>
      <c r="V113" s="54">
        <f>ROUND(Spotify!Q123*100,0)</f>
        <v>20</v>
      </c>
      <c r="W113" s="54">
        <f>Spotify!G123</f>
        <v>77</v>
      </c>
    </row>
    <row r="114" spans="1:23" ht="15" x14ac:dyDescent="0.3">
      <c r="A114" s="87">
        <f t="shared" ca="1" si="8"/>
        <v>0.90263045615738036</v>
      </c>
      <c r="B114" s="93" t="s">
        <v>1</v>
      </c>
      <c r="C114" s="94"/>
      <c r="D114" s="95" t="s">
        <v>1643</v>
      </c>
      <c r="E114" s="94" t="s">
        <v>784</v>
      </c>
      <c r="F114" s="94"/>
      <c r="G114" s="96">
        <v>1957</v>
      </c>
      <c r="H114" s="94" t="s">
        <v>40</v>
      </c>
      <c r="I114" s="94"/>
      <c r="J114" s="88" t="s">
        <v>1448</v>
      </c>
      <c r="K114" s="90" t="str">
        <f>CONCATENATE(SUBSTITUTE(Spotify!J124,",",";"),";",J114)</f>
        <v>;groovy;fast;dance;love;oldies;retro</v>
      </c>
      <c r="L114" s="86"/>
      <c r="M114" s="54" t="str">
        <f>Spotify!B124</f>
        <v>Heaven</v>
      </c>
      <c r="N114" s="92" t="str">
        <f>Spotify!D124</f>
        <v>Bryan Adams</v>
      </c>
      <c r="O114" s="92">
        <f>Spotify!E124</f>
        <v>30991</v>
      </c>
      <c r="P114" s="54">
        <f>ROUND(Spotify!U124,0)</f>
        <v>140</v>
      </c>
      <c r="Q114" s="54">
        <f>ROUND(Spotify!L124*100,0)</f>
        <v>59</v>
      </c>
      <c r="R114" s="54">
        <f>ROUND(Spotify!K124*100,0)</f>
        <v>38</v>
      </c>
      <c r="S114" s="54">
        <f>Spotify!N124</f>
        <v>-7.3150000000000004</v>
      </c>
      <c r="T114" s="54">
        <f>ROUND(Spotify!T124*100,0)</f>
        <v>33</v>
      </c>
      <c r="U114" s="54">
        <f>ROUND(Spotify!F124/60000,1)</f>
        <v>4.0999999999999996</v>
      </c>
      <c r="V114" s="54">
        <f>ROUND(Spotify!Q124*100,0)</f>
        <v>5</v>
      </c>
      <c r="W114" s="54">
        <f>Spotify!G124</f>
        <v>85</v>
      </c>
    </row>
    <row r="115" spans="1:23" ht="15" x14ac:dyDescent="0.3">
      <c r="A115" s="87">
        <f t="shared" ca="1" si="8"/>
        <v>0.79074709793123665</v>
      </c>
      <c r="B115" s="99"/>
      <c r="C115" s="97" t="s">
        <v>94</v>
      </c>
      <c r="D115" s="89" t="s">
        <v>594</v>
      </c>
      <c r="E115" s="97" t="s">
        <v>28</v>
      </c>
      <c r="F115" s="97"/>
      <c r="G115" s="98">
        <v>2002</v>
      </c>
      <c r="H115" s="97" t="s">
        <v>29</v>
      </c>
      <c r="I115" s="97"/>
      <c r="J115" s="88" t="s">
        <v>1414</v>
      </c>
      <c r="K115" s="90" t="str">
        <f>CONCATENATE(SUBSTITUTE(Spotify!J125,",",";"),";",J115)</f>
        <v>motown;alternative;acoustic;love;slow</v>
      </c>
      <c r="L115" s="86"/>
      <c r="M115" s="54" t="str">
        <f>Spotify!B125</f>
        <v>Hello</v>
      </c>
      <c r="N115" s="92" t="str">
        <f>Spotify!D125</f>
        <v>Lionel Richie</v>
      </c>
      <c r="O115" s="92">
        <f>Spotify!E125</f>
        <v>30317</v>
      </c>
      <c r="P115" s="54">
        <f>ROUND(Spotify!U125,0)</f>
        <v>61</v>
      </c>
      <c r="Q115" s="54">
        <f>ROUND(Spotify!L125*100,0)</f>
        <v>25</v>
      </c>
      <c r="R115" s="54">
        <f>ROUND(Spotify!K125*100,0)</f>
        <v>49</v>
      </c>
      <c r="S115" s="54">
        <f>Spotify!N125</f>
        <v>-14.103999999999999</v>
      </c>
      <c r="T115" s="54">
        <f>ROUND(Spotify!T125*100,0)</f>
        <v>6</v>
      </c>
      <c r="U115" s="54">
        <f>ROUND(Spotify!F125/60000,1)</f>
        <v>4.2</v>
      </c>
      <c r="V115" s="54">
        <f>ROUND(Spotify!Q125*100,0)</f>
        <v>41</v>
      </c>
      <c r="W115" s="54">
        <f>Spotify!G125</f>
        <v>61</v>
      </c>
    </row>
    <row r="116" spans="1:23" ht="15" x14ac:dyDescent="0.3">
      <c r="A116" s="87">
        <f t="shared" ca="1" si="8"/>
        <v>0.15348146067326662</v>
      </c>
      <c r="B116" s="93" t="s">
        <v>1</v>
      </c>
      <c r="C116" s="94" t="s">
        <v>46</v>
      </c>
      <c r="D116" s="95" t="s">
        <v>215</v>
      </c>
      <c r="E116" s="94" t="s">
        <v>178</v>
      </c>
      <c r="F116" s="94"/>
      <c r="G116" s="96">
        <v>1972</v>
      </c>
      <c r="H116" s="94" t="s">
        <v>12</v>
      </c>
      <c r="I116" s="94"/>
      <c r="J116" s="88" t="s">
        <v>1415</v>
      </c>
      <c r="K116" s="90" t="str">
        <f>CONCATENATE(SUBSTITUTE(Spotify!J126,",",";"),";",J116)</f>
        <v>classic rock;psychedelic rock;alternative;slow;love;retro;oldies</v>
      </c>
      <c r="L116" s="86"/>
      <c r="M116" s="54" t="str">
        <f>Spotify!B126</f>
        <v>Here Comes The Sun - Remastered 2009</v>
      </c>
      <c r="N116" s="92" t="str">
        <f>Spotify!D126</f>
        <v>The Beatles</v>
      </c>
      <c r="O116" s="92">
        <f>Spotify!E126</f>
        <v>25472</v>
      </c>
      <c r="P116" s="54">
        <f>ROUND(Spotify!U126,0)</f>
        <v>129</v>
      </c>
      <c r="Q116" s="54">
        <f>ROUND(Spotify!L126*100,0)</f>
        <v>54</v>
      </c>
      <c r="R116" s="54">
        <f>ROUND(Spotify!K126*100,0)</f>
        <v>56</v>
      </c>
      <c r="S116" s="54">
        <f>Spotify!N126</f>
        <v>-10.484</v>
      </c>
      <c r="T116" s="54">
        <f>ROUND(Spotify!T126*100,0)</f>
        <v>39</v>
      </c>
      <c r="U116" s="54">
        <f>ROUND(Spotify!F126/60000,1)</f>
        <v>3.1</v>
      </c>
      <c r="V116" s="54">
        <f>ROUND(Spotify!Q126*100,0)</f>
        <v>3</v>
      </c>
      <c r="W116" s="54">
        <f>Spotify!G126</f>
        <v>85</v>
      </c>
    </row>
    <row r="117" spans="1:23" s="53" customFormat="1" ht="15" x14ac:dyDescent="0.3">
      <c r="A117" s="87">
        <f t="shared" ca="1" si="8"/>
        <v>0.82422081131863523</v>
      </c>
      <c r="B117" s="93"/>
      <c r="C117" s="94"/>
      <c r="D117" s="95" t="s">
        <v>216</v>
      </c>
      <c r="E117" s="94" t="s">
        <v>217</v>
      </c>
      <c r="F117" s="94" t="s">
        <v>218</v>
      </c>
      <c r="G117" s="96">
        <v>1984</v>
      </c>
      <c r="H117" s="94" t="s">
        <v>12</v>
      </c>
      <c r="I117" s="94" t="s">
        <v>219</v>
      </c>
      <c r="J117" s="88" t="s">
        <v>1407</v>
      </c>
      <c r="K117" s="90" t="str">
        <f>CONCATENATE(SUBSTITUTE(Spotify!J127,",",";"),";",J117)</f>
        <v>post-grunge;slow;love;acoustic;alternative;oldies;retro</v>
      </c>
      <c r="L117" s="86"/>
      <c r="M117" s="54" t="str">
        <f>Spotify!B127</f>
        <v>Here Without You</v>
      </c>
      <c r="N117" s="92" t="str">
        <f>Spotify!D127</f>
        <v>3 Doors Down</v>
      </c>
      <c r="O117" s="92">
        <f>Spotify!E127</f>
        <v>37572</v>
      </c>
      <c r="P117" s="54">
        <f>ROUND(Spotify!U127,0)</f>
        <v>144</v>
      </c>
      <c r="Q117" s="54">
        <f>ROUND(Spotify!L127*100,0)</f>
        <v>53</v>
      </c>
      <c r="R117" s="54">
        <f>ROUND(Spotify!K127*100,0)</f>
        <v>56</v>
      </c>
      <c r="S117" s="54">
        <f>Spotify!N127</f>
        <v>-6.8170000000000002</v>
      </c>
      <c r="T117" s="54">
        <f>ROUND(Spotify!T127*100,0)</f>
        <v>23</v>
      </c>
      <c r="U117" s="54">
        <f>ROUND(Spotify!F127/60000,1)</f>
        <v>4</v>
      </c>
      <c r="V117" s="54">
        <f>ROUND(Spotify!Q127*100,0)</f>
        <v>5</v>
      </c>
      <c r="W117" s="54">
        <f>Spotify!G127</f>
        <v>83</v>
      </c>
    </row>
    <row r="118" spans="1:23" s="53" customFormat="1" ht="15" x14ac:dyDescent="0.3">
      <c r="A118" s="87">
        <f t="shared" ca="1" si="8"/>
        <v>0.87384775108862811</v>
      </c>
      <c r="B118" s="93"/>
      <c r="C118" s="94" t="s">
        <v>94</v>
      </c>
      <c r="D118" s="100" t="s">
        <v>635</v>
      </c>
      <c r="E118" s="94" t="s">
        <v>68</v>
      </c>
      <c r="F118" s="94"/>
      <c r="G118" s="96">
        <v>2008</v>
      </c>
      <c r="H118" s="94" t="s">
        <v>13</v>
      </c>
      <c r="I118" s="94"/>
      <c r="J118" s="88" t="s">
        <v>1392</v>
      </c>
      <c r="K118" s="90" t="str">
        <f>CONCATENATE(SUBSTITUTE(Spotify!J128,",",";"),";",J118)</f>
        <v>latin pop;latin;groovy;alternative</v>
      </c>
      <c r="L118" s="86"/>
      <c r="M118" s="54" t="str">
        <f>Spotify!B128</f>
        <v>Hero</v>
      </c>
      <c r="N118" s="92" t="str">
        <f>Spotify!D128</f>
        <v>Enrique Iglesias</v>
      </c>
      <c r="O118" s="92">
        <f>Spotify!E128</f>
        <v>39448</v>
      </c>
      <c r="P118" s="54">
        <f>ROUND(Spotify!U128,0)</f>
        <v>75</v>
      </c>
      <c r="Q118" s="54">
        <f>ROUND(Spotify!L128*100,0)</f>
        <v>62</v>
      </c>
      <c r="R118" s="54">
        <f>ROUND(Spotify!K128*100,0)</f>
        <v>46</v>
      </c>
      <c r="S118" s="54">
        <f>Spotify!N128</f>
        <v>-6.1790000000000003</v>
      </c>
      <c r="T118" s="54">
        <f>ROUND(Spotify!T128*100,0)</f>
        <v>16</v>
      </c>
      <c r="U118" s="54">
        <f>ROUND(Spotify!F128/60000,1)</f>
        <v>4.4000000000000004</v>
      </c>
      <c r="V118" s="54">
        <f>ROUND(Spotify!Q128*100,0)</f>
        <v>15</v>
      </c>
      <c r="W118" s="54">
        <f>Spotify!G128</f>
        <v>11</v>
      </c>
    </row>
    <row r="119" spans="1:23" s="53" customFormat="1" ht="15" x14ac:dyDescent="0.3">
      <c r="A119" s="87">
        <f t="shared" ca="1" si="8"/>
        <v>0.94943166914585608</v>
      </c>
      <c r="B119" s="93" t="s">
        <v>1</v>
      </c>
      <c r="C119" s="94" t="s">
        <v>21</v>
      </c>
      <c r="D119" s="95" t="s">
        <v>220</v>
      </c>
      <c r="E119" s="94" t="s">
        <v>221</v>
      </c>
      <c r="F119" s="94"/>
      <c r="G119" s="96">
        <v>2013</v>
      </c>
      <c r="H119" s="94" t="s">
        <v>13</v>
      </c>
      <c r="I119" s="94"/>
      <c r="J119" s="88" t="s">
        <v>1390</v>
      </c>
      <c r="K119" s="90" t="str">
        <f>CONCATENATE(SUBSTITUTE(Spotify!J129,",",";"),";",J119)</f>
        <v>classic rock;psychedelic rock;dance;fast;love;groovy</v>
      </c>
      <c r="L119" s="86"/>
      <c r="M119" s="54" t="str">
        <f>Spotify!B129</f>
        <v>Hey Jude</v>
      </c>
      <c r="N119" s="92" t="str">
        <f>Spotify!D129</f>
        <v>The Beatles</v>
      </c>
      <c r="O119" s="92">
        <f>Spotify!E129</f>
        <v>39038</v>
      </c>
      <c r="P119" s="54">
        <f>ROUND(Spotify!U129,0)</f>
        <v>74</v>
      </c>
      <c r="Q119" s="54">
        <f>ROUND(Spotify!L129*100,0)</f>
        <v>63</v>
      </c>
      <c r="R119" s="54">
        <f>ROUND(Spotify!K129*100,0)</f>
        <v>46</v>
      </c>
      <c r="S119" s="54">
        <f>Spotify!N129</f>
        <v>-7.4379999999999997</v>
      </c>
      <c r="T119" s="54">
        <f>ROUND(Spotify!T129*100,0)</f>
        <v>59</v>
      </c>
      <c r="U119" s="54">
        <f>ROUND(Spotify!F129/60000,1)</f>
        <v>4</v>
      </c>
      <c r="V119" s="54">
        <f>ROUND(Spotify!Q129*100,0)</f>
        <v>9</v>
      </c>
      <c r="W119" s="54">
        <f>Spotify!G129</f>
        <v>75</v>
      </c>
    </row>
    <row r="120" spans="1:23" s="53" customFormat="1" ht="15" x14ac:dyDescent="0.3">
      <c r="A120" s="87"/>
      <c r="B120" s="93"/>
      <c r="C120" s="94"/>
      <c r="D120" s="95" t="s">
        <v>1926</v>
      </c>
      <c r="E120" s="94" t="s">
        <v>226</v>
      </c>
      <c r="F120" s="94"/>
      <c r="G120" s="96">
        <v>1992</v>
      </c>
      <c r="H120" s="94" t="s">
        <v>63</v>
      </c>
      <c r="I120" s="94"/>
      <c r="J120" s="88"/>
      <c r="K120" s="90" t="str">
        <f>CONCATENATE(SUBSTITUTE(Spotify!J130,",",";"),";",J120)</f>
        <v>soft pop;</v>
      </c>
      <c r="L120" s="86"/>
      <c r="M120" s="54" t="str">
        <f>Spotify!B130</f>
        <v>Hey, Soul Sister</v>
      </c>
      <c r="N120" s="92" t="str">
        <f>Spotify!D130</f>
        <v>Train</v>
      </c>
      <c r="O120" s="92">
        <f>Spotify!E130</f>
        <v>40513</v>
      </c>
      <c r="P120" s="54">
        <f>ROUND(Spotify!U130,0)</f>
        <v>97</v>
      </c>
      <c r="Q120" s="54">
        <f>ROUND(Spotify!L130*100,0)</f>
        <v>89</v>
      </c>
      <c r="R120" s="54">
        <f>ROUND(Spotify!K130*100,0)</f>
        <v>67</v>
      </c>
      <c r="S120" s="54">
        <f>Spotify!N130</f>
        <v>-4.4400000000000004</v>
      </c>
      <c r="T120" s="54">
        <f>ROUND(Spotify!T130*100,0)</f>
        <v>80</v>
      </c>
      <c r="U120" s="54">
        <f>ROUND(Spotify!F130/60000,1)</f>
        <v>3.6</v>
      </c>
      <c r="V120" s="54">
        <f>ROUND(Spotify!Q130*100,0)</f>
        <v>19</v>
      </c>
      <c r="W120" s="54">
        <f>Spotify!G130</f>
        <v>85</v>
      </c>
    </row>
    <row r="121" spans="1:23" s="53" customFormat="1" ht="15" x14ac:dyDescent="0.3">
      <c r="A121" s="87"/>
      <c r="B121" s="93"/>
      <c r="C121" s="94"/>
      <c r="D121" s="95" t="s">
        <v>1768</v>
      </c>
      <c r="E121" s="94" t="s">
        <v>1701</v>
      </c>
      <c r="F121" s="94"/>
      <c r="G121" s="96">
        <v>2017</v>
      </c>
      <c r="H121" s="94" t="s">
        <v>203</v>
      </c>
      <c r="I121" s="94"/>
      <c r="J121" s="88"/>
      <c r="K121" s="90" t="str">
        <f>CONCATENATE(SUBSTITUTE(Spotify!J131,",",";"),";",J121)</f>
        <v>;</v>
      </c>
      <c r="L121" s="86"/>
      <c r="M121" s="54" t="str">
        <f>Spotify!B131</f>
        <v>Hey There Delilah</v>
      </c>
      <c r="N121" s="92" t="str">
        <f>Spotify!D131</f>
        <v>Plain White T's</v>
      </c>
      <c r="O121" s="92">
        <f>Spotify!E131</f>
        <v>38377</v>
      </c>
      <c r="P121" s="54">
        <f>ROUND(Spotify!U131,0)</f>
        <v>104</v>
      </c>
      <c r="Q121" s="54">
        <f>ROUND(Spotify!L131*100,0)</f>
        <v>29</v>
      </c>
      <c r="R121" s="54">
        <f>ROUND(Spotify!K131*100,0)</f>
        <v>66</v>
      </c>
      <c r="S121" s="54">
        <f>Spotify!N131</f>
        <v>-10.571999999999999</v>
      </c>
      <c r="T121" s="54">
        <f>ROUND(Spotify!T131*100,0)</f>
        <v>30</v>
      </c>
      <c r="U121" s="54">
        <f>ROUND(Spotify!F131/60000,1)</f>
        <v>3.9</v>
      </c>
      <c r="V121" s="54">
        <f>ROUND(Spotify!Q131*100,0)</f>
        <v>87</v>
      </c>
      <c r="W121" s="54">
        <f>Spotify!G131</f>
        <v>84</v>
      </c>
    </row>
    <row r="122" spans="1:23" s="53" customFormat="1" ht="15" x14ac:dyDescent="0.3">
      <c r="A122" s="87">
        <f ca="1">RAND()</f>
        <v>8.5970038918306235E-2</v>
      </c>
      <c r="B122" s="93"/>
      <c r="C122" s="94" t="s">
        <v>93</v>
      </c>
      <c r="D122" s="95" t="s">
        <v>222</v>
      </c>
      <c r="E122" s="94" t="s">
        <v>223</v>
      </c>
      <c r="F122" s="94"/>
      <c r="G122" s="96">
        <v>1971</v>
      </c>
      <c r="H122" s="94" t="s">
        <v>12</v>
      </c>
      <c r="I122" s="94" t="s">
        <v>224</v>
      </c>
      <c r="J122" s="88" t="s">
        <v>1416</v>
      </c>
      <c r="K122" s="90" t="str">
        <f>CONCATENATE(SUBSTITUTE(Spotify!J132,",",";"),";",J122)</f>
        <v>classic rock;yacht rock;soft rock;oldies;retro;groovy;dance</v>
      </c>
      <c r="L122" s="86"/>
      <c r="M122" s="54" t="str">
        <f>Spotify!B132</f>
        <v>Hotel California - 2013 Remaster</v>
      </c>
      <c r="N122" s="92" t="str">
        <f>Spotify!D132</f>
        <v>Eagles</v>
      </c>
      <c r="O122" s="92">
        <f>Spotify!E132</f>
        <v>28102</v>
      </c>
      <c r="P122" s="54">
        <f>ROUND(Spotify!U132,0)</f>
        <v>147</v>
      </c>
      <c r="Q122" s="54">
        <f>ROUND(Spotify!L132*100,0)</f>
        <v>51</v>
      </c>
      <c r="R122" s="54">
        <f>ROUND(Spotify!K132*100,0)</f>
        <v>58</v>
      </c>
      <c r="S122" s="54">
        <f>Spotify!N132</f>
        <v>-9.484</v>
      </c>
      <c r="T122" s="54">
        <f>ROUND(Spotify!T132*100,0)</f>
        <v>61</v>
      </c>
      <c r="U122" s="54">
        <f>ROUND(Spotify!F132/60000,1)</f>
        <v>6.5</v>
      </c>
      <c r="V122" s="54">
        <f>ROUND(Spotify!Q132*100,0)</f>
        <v>1</v>
      </c>
      <c r="W122" s="54">
        <f>Spotify!G132</f>
        <v>87</v>
      </c>
    </row>
    <row r="123" spans="1:23" ht="15" x14ac:dyDescent="0.3">
      <c r="A123" s="87">
        <f ca="1">RAND()</f>
        <v>0.37843757108881826</v>
      </c>
      <c r="B123" s="93" t="s">
        <v>1</v>
      </c>
      <c r="C123" s="94"/>
      <c r="D123" s="95" t="s">
        <v>225</v>
      </c>
      <c r="E123" s="94" t="s">
        <v>226</v>
      </c>
      <c r="F123" s="94"/>
      <c r="G123" s="96">
        <v>1972</v>
      </c>
      <c r="H123" s="94" t="s">
        <v>12</v>
      </c>
      <c r="I123" s="94" t="s">
        <v>200</v>
      </c>
      <c r="J123" s="88" t="s">
        <v>1417</v>
      </c>
      <c r="K123" s="90" t="str">
        <f>CONCATENATE(SUBSTITUTE(Spotify!J133,",",";"),";",J123)</f>
        <v>disco;alternative;oldies;retro;slow;love</v>
      </c>
      <c r="L123" s="86"/>
      <c r="M123" s="54" t="str">
        <f>Spotify!B133</f>
        <v>How Deep Is Your Love</v>
      </c>
      <c r="N123" s="92" t="str">
        <f>Spotify!D133</f>
        <v>Bee Gees</v>
      </c>
      <c r="O123" s="92">
        <f>Spotify!E133</f>
        <v>28856</v>
      </c>
      <c r="P123" s="54">
        <f>ROUND(Spotify!U133,0)</f>
        <v>105</v>
      </c>
      <c r="Q123" s="54">
        <f>ROUND(Spotify!L133*100,0)</f>
        <v>36</v>
      </c>
      <c r="R123" s="54">
        <f>ROUND(Spotify!K133*100,0)</f>
        <v>63</v>
      </c>
      <c r="S123" s="54">
        <f>Spotify!N133</f>
        <v>-9.3659999999999997</v>
      </c>
      <c r="T123" s="54">
        <f>ROUND(Spotify!T133*100,0)</f>
        <v>67</v>
      </c>
      <c r="U123" s="54">
        <f>ROUND(Spotify!F133/60000,1)</f>
        <v>4.0999999999999996</v>
      </c>
      <c r="V123" s="54">
        <f>ROUND(Spotify!Q133*100,0)</f>
        <v>11</v>
      </c>
      <c r="W123" s="54">
        <f>Spotify!G133</f>
        <v>82</v>
      </c>
    </row>
    <row r="124" spans="1:23" ht="15" x14ac:dyDescent="0.3">
      <c r="A124" s="87">
        <f ca="1">RAND()</f>
        <v>0.43009388118810477</v>
      </c>
      <c r="B124" s="93"/>
      <c r="C124" s="94"/>
      <c r="D124" s="95" t="s">
        <v>788</v>
      </c>
      <c r="E124" s="94" t="s">
        <v>122</v>
      </c>
      <c r="F124" s="94"/>
      <c r="G124" s="96">
        <v>1985</v>
      </c>
      <c r="H124" s="94" t="s">
        <v>12</v>
      </c>
      <c r="I124" s="94" t="s">
        <v>13</v>
      </c>
      <c r="J124" s="88" t="s">
        <v>1418</v>
      </c>
      <c r="K124" s="90" t="str">
        <f>CONCATENATE(SUBSTITUTE(Spotify!J134,",",";"),";",J124)</f>
        <v>;slow;dance;love</v>
      </c>
      <c r="L124" s="86"/>
      <c r="M124" s="54" t="str">
        <f>Spotify!B134</f>
        <v>Hymn for the Weekend</v>
      </c>
      <c r="N124" s="92" t="str">
        <f>Spotify!D134</f>
        <v>Coldplay</v>
      </c>
      <c r="O124" s="92">
        <f>Spotify!E134</f>
        <v>42342</v>
      </c>
      <c r="P124" s="54">
        <f>ROUND(Spotify!U134,0)</f>
        <v>90</v>
      </c>
      <c r="Q124" s="54">
        <f>ROUND(Spotify!L134*100,0)</f>
        <v>69</v>
      </c>
      <c r="R124" s="54">
        <f>ROUND(Spotify!K134*100,0)</f>
        <v>49</v>
      </c>
      <c r="S124" s="54">
        <f>Spotify!N134</f>
        <v>-6.4870000000000001</v>
      </c>
      <c r="T124" s="54">
        <f>ROUND(Spotify!T134*100,0)</f>
        <v>41</v>
      </c>
      <c r="U124" s="54">
        <f>ROUND(Spotify!F134/60000,1)</f>
        <v>4.3</v>
      </c>
      <c r="V124" s="54">
        <f>ROUND(Spotify!Q134*100,0)</f>
        <v>21</v>
      </c>
      <c r="W124" s="54">
        <f>Spotify!G134</f>
        <v>85</v>
      </c>
    </row>
    <row r="125" spans="1:23" s="53" customFormat="1" ht="15" x14ac:dyDescent="0.3">
      <c r="A125" s="87">
        <f ca="1">RAND()</f>
        <v>0.87553289772971188</v>
      </c>
      <c r="B125" s="93" t="s">
        <v>1</v>
      </c>
      <c r="C125" s="94" t="s">
        <v>77</v>
      </c>
      <c r="D125" s="95" t="s">
        <v>227</v>
      </c>
      <c r="E125" s="94" t="s">
        <v>229</v>
      </c>
      <c r="F125" s="94"/>
      <c r="G125" s="96">
        <v>1983</v>
      </c>
      <c r="H125" s="94" t="s">
        <v>13</v>
      </c>
      <c r="I125" s="94"/>
      <c r="J125" s="88" t="s">
        <v>1402</v>
      </c>
      <c r="K125" s="90" t="str">
        <f>CONCATENATE(SUBSTITUTE(Spotify!J135,",",";"),";",J125)</f>
        <v>;love;slow;oldies;retro</v>
      </c>
      <c r="L125" s="86"/>
      <c r="M125" s="54" t="str">
        <f>Spotify!B135</f>
        <v>I Have A Dream</v>
      </c>
      <c r="N125" s="92" t="str">
        <f>Spotify!D135</f>
        <v>ABBA</v>
      </c>
      <c r="O125" s="92">
        <f>Spotify!E135</f>
        <v>1979</v>
      </c>
      <c r="P125" s="54">
        <f>ROUND(Spotify!U135,0)</f>
        <v>104</v>
      </c>
      <c r="Q125" s="54">
        <f>ROUND(Spotify!L135*100,0)</f>
        <v>37</v>
      </c>
      <c r="R125" s="54">
        <f>ROUND(Spotify!K135*100,0)</f>
        <v>55</v>
      </c>
      <c r="S125" s="54">
        <f>Spotify!N135</f>
        <v>-12.048999999999999</v>
      </c>
      <c r="T125" s="54">
        <f>ROUND(Spotify!T135*100,0)</f>
        <v>44</v>
      </c>
      <c r="U125" s="54">
        <f>ROUND(Spotify!F135/60000,1)</f>
        <v>4.8</v>
      </c>
      <c r="V125" s="54">
        <f>ROUND(Spotify!Q135*100,0)</f>
        <v>60</v>
      </c>
      <c r="W125" s="54">
        <f>Spotify!G135</f>
        <v>68</v>
      </c>
    </row>
    <row r="126" spans="1:23" s="53" customFormat="1" ht="15" x14ac:dyDescent="0.3">
      <c r="A126" s="87"/>
      <c r="B126" s="93" t="s">
        <v>1</v>
      </c>
      <c r="C126" s="94"/>
      <c r="D126" s="95" t="s">
        <v>1965</v>
      </c>
      <c r="E126" s="94" t="s">
        <v>673</v>
      </c>
      <c r="F126" s="94"/>
      <c r="G126" s="96">
        <v>1969</v>
      </c>
      <c r="H126" s="94" t="s">
        <v>12</v>
      </c>
      <c r="I126" s="94" t="s">
        <v>261</v>
      </c>
      <c r="J126" s="88"/>
      <c r="K126" s="90"/>
      <c r="L126" s="86"/>
      <c r="M126" s="54"/>
      <c r="N126" s="92"/>
      <c r="O126" s="92"/>
      <c r="P126" s="54"/>
      <c r="Q126" s="54"/>
      <c r="R126" s="54"/>
      <c r="S126" s="54"/>
      <c r="T126" s="54"/>
      <c r="U126" s="54"/>
      <c r="V126" s="54"/>
      <c r="W126" s="54"/>
    </row>
    <row r="127" spans="1:23" s="53" customFormat="1" ht="15" x14ac:dyDescent="0.3">
      <c r="A127" s="87">
        <f ca="1">RAND()</f>
        <v>0.42425407432953588</v>
      </c>
      <c r="B127" s="93"/>
      <c r="C127" s="94" t="s">
        <v>77</v>
      </c>
      <c r="D127" s="89" t="s">
        <v>230</v>
      </c>
      <c r="E127" s="94" t="s">
        <v>231</v>
      </c>
      <c r="F127" s="94"/>
      <c r="G127" s="96">
        <v>2002</v>
      </c>
      <c r="H127" s="94" t="s">
        <v>12</v>
      </c>
      <c r="I127" s="94"/>
      <c r="J127" s="88" t="s">
        <v>1419</v>
      </c>
      <c r="K127" s="90" t="str">
        <f>CONCATENATE(SUBSTITUTE(Spotify!J136,",",";"),";",J127)</f>
        <v>classic rock;psychedelic rock;alternative;love</v>
      </c>
      <c r="L127" s="86"/>
      <c r="M127" s="54" t="str">
        <f>Spotify!B136</f>
        <v>I Saw Her Standing There - Remastered 2009</v>
      </c>
      <c r="N127" s="92" t="str">
        <f>Spotify!D136</f>
        <v>The Beatles</v>
      </c>
      <c r="O127" s="92">
        <f>Spotify!E136</f>
        <v>23092</v>
      </c>
      <c r="P127" s="54">
        <f>ROUND(Spotify!U136,0)</f>
        <v>160</v>
      </c>
      <c r="Q127" s="54">
        <f>ROUND(Spotify!L136*100,0)</f>
        <v>80</v>
      </c>
      <c r="R127" s="54">
        <f>ROUND(Spotify!K136*100,0)</f>
        <v>49</v>
      </c>
      <c r="S127" s="54">
        <f>Spotify!N136</f>
        <v>-9.8350000000000009</v>
      </c>
      <c r="T127" s="54">
        <f>ROUND(Spotify!T136*100,0)</f>
        <v>97</v>
      </c>
      <c r="U127" s="54">
        <f>ROUND(Spotify!F136/60000,1)</f>
        <v>2.9</v>
      </c>
      <c r="V127" s="54">
        <f>ROUND(Spotify!Q136*100,0)</f>
        <v>27</v>
      </c>
      <c r="W127" s="54">
        <f>Spotify!G136</f>
        <v>68</v>
      </c>
    </row>
    <row r="128" spans="1:23" ht="15" x14ac:dyDescent="0.3">
      <c r="A128" s="87"/>
      <c r="B128" s="93"/>
      <c r="C128" s="94"/>
      <c r="D128" s="89" t="s">
        <v>1708</v>
      </c>
      <c r="E128" s="94" t="s">
        <v>1709</v>
      </c>
      <c r="F128" s="94"/>
      <c r="G128" s="96">
        <v>2001</v>
      </c>
      <c r="H128" s="94" t="s">
        <v>13</v>
      </c>
      <c r="I128" s="94"/>
      <c r="J128" s="88"/>
      <c r="K128" s="90" t="str">
        <f>CONCATENATE(SUBSTITUTE(Spotify!J137,",",";"),";",J128)</f>
        <v>classic rock;psychedelic rock;</v>
      </c>
      <c r="L128" s="86"/>
      <c r="M128" s="54" t="str">
        <f>Spotify!B137</f>
        <v>I Want To Hold Your Hand - Remastered 2015</v>
      </c>
      <c r="N128" s="92" t="str">
        <f>Spotify!D137</f>
        <v>The Beatles</v>
      </c>
      <c r="O128" s="92">
        <f>Spotify!E137</f>
        <v>36843</v>
      </c>
      <c r="P128" s="54">
        <f>ROUND(Spotify!U137,0)</f>
        <v>131</v>
      </c>
      <c r="Q128" s="54">
        <f>ROUND(Spotify!L137*100,0)</f>
        <v>72</v>
      </c>
      <c r="R128" s="54">
        <f>ROUND(Spotify!K137*100,0)</f>
        <v>49</v>
      </c>
      <c r="S128" s="54">
        <f>Spotify!N137</f>
        <v>-5.5490000000000004</v>
      </c>
      <c r="T128" s="54">
        <f>ROUND(Spotify!T137*100,0)</f>
        <v>87</v>
      </c>
      <c r="U128" s="54">
        <f>ROUND(Spotify!F137/60000,1)</f>
        <v>2.4</v>
      </c>
      <c r="V128" s="54">
        <f>ROUND(Spotify!Q137*100,0)</f>
        <v>39</v>
      </c>
      <c r="W128" s="54">
        <f>Spotify!G137</f>
        <v>67</v>
      </c>
    </row>
    <row r="129" spans="1:23" ht="15" x14ac:dyDescent="0.3">
      <c r="A129" s="87">
        <f t="shared" ref="A129:A136" ca="1" si="9">RAND()</f>
        <v>0.64303920837567385</v>
      </c>
      <c r="B129" s="93"/>
      <c r="C129" s="94" t="s">
        <v>37</v>
      </c>
      <c r="D129" s="95" t="s">
        <v>232</v>
      </c>
      <c r="E129" s="97" t="s">
        <v>90</v>
      </c>
      <c r="F129" s="94"/>
      <c r="G129" s="96">
        <v>1968</v>
      </c>
      <c r="H129" s="94" t="s">
        <v>12</v>
      </c>
      <c r="I129" s="94" t="s">
        <v>13</v>
      </c>
      <c r="J129" s="88" t="s">
        <v>1412</v>
      </c>
      <c r="K129" s="90" t="str">
        <f>CONCATENATE(SUBSTITUTE(Spotify!J138,",",";"),";",J129)</f>
        <v>;retro;oldies;dance;groovy;love</v>
      </c>
      <c r="L129" s="86"/>
      <c r="M129" s="54" t="str">
        <f>Spotify!B138</f>
        <v>I Will Follow You into the Dark</v>
      </c>
      <c r="N129" s="92" t="str">
        <f>Spotify!D138</f>
        <v>Death Cab for Cutie</v>
      </c>
      <c r="O129" s="92">
        <f>Spotify!E138</f>
        <v>38593</v>
      </c>
      <c r="P129" s="54">
        <f>ROUND(Spotify!U138,0)</f>
        <v>80</v>
      </c>
      <c r="Q129" s="54">
        <f>ROUND(Spotify!L138*100,0)</f>
        <v>21</v>
      </c>
      <c r="R129" s="54">
        <f>ROUND(Spotify!K138*100,0)</f>
        <v>52</v>
      </c>
      <c r="S129" s="54">
        <f>Spotify!N138</f>
        <v>-12.233000000000001</v>
      </c>
      <c r="T129" s="54">
        <f>ROUND(Spotify!T138*100,0)</f>
        <v>49</v>
      </c>
      <c r="U129" s="54">
        <f>ROUND(Spotify!F138/60000,1)</f>
        <v>3.2</v>
      </c>
      <c r="V129" s="54">
        <f>ROUND(Spotify!Q138*100,0)</f>
        <v>92</v>
      </c>
      <c r="W129" s="54">
        <f>Spotify!G138</f>
        <v>65</v>
      </c>
    </row>
    <row r="130" spans="1:23" ht="15" x14ac:dyDescent="0.3">
      <c r="A130" s="87">
        <f t="shared" ca="1" si="9"/>
        <v>0.19919047641818122</v>
      </c>
      <c r="B130" s="93"/>
      <c r="C130" s="94" t="s">
        <v>37</v>
      </c>
      <c r="D130" s="95" t="s">
        <v>565</v>
      </c>
      <c r="E130" s="94" t="s">
        <v>237</v>
      </c>
      <c r="F130" s="94"/>
      <c r="G130" s="96">
        <v>2002</v>
      </c>
      <c r="H130" s="94" t="s">
        <v>12</v>
      </c>
      <c r="I130" s="94" t="s">
        <v>238</v>
      </c>
      <c r="J130" s="88" t="s">
        <v>1557</v>
      </c>
      <c r="K130" s="90" t="str">
        <f>CONCATENATE(SUBSTITUTE(Spotify!J139,",",";"),";",J130)</f>
        <v>disco;dance;fast;groovy;love;sweet</v>
      </c>
      <c r="L130" s="86"/>
      <c r="M130" s="54" t="str">
        <f>Spotify!B139</f>
        <v>I Will Survive</v>
      </c>
      <c r="N130" s="92" t="str">
        <f>Spotify!D139</f>
        <v>Gloria Gaynor</v>
      </c>
      <c r="O130" s="92">
        <f>Spotify!E139</f>
        <v>28821</v>
      </c>
      <c r="P130" s="54">
        <f>ROUND(Spotify!U139,0)</f>
        <v>117</v>
      </c>
      <c r="Q130" s="54">
        <f>ROUND(Spotify!L139*100,0)</f>
        <v>78</v>
      </c>
      <c r="R130" s="54">
        <f>ROUND(Spotify!K139*100,0)</f>
        <v>77</v>
      </c>
      <c r="S130" s="54">
        <f>Spotify!N139</f>
        <v>-9.5709999999999997</v>
      </c>
      <c r="T130" s="54">
        <f>ROUND(Spotify!T139*100,0)</f>
        <v>80</v>
      </c>
      <c r="U130" s="54">
        <f>ROUND(Spotify!F139/60000,1)</f>
        <v>4.9000000000000004</v>
      </c>
      <c r="V130" s="54">
        <f>ROUND(Spotify!Q139*100,0)</f>
        <v>2</v>
      </c>
      <c r="W130" s="54">
        <f>Spotify!G139</f>
        <v>79</v>
      </c>
    </row>
    <row r="131" spans="1:23" ht="15" x14ac:dyDescent="0.3">
      <c r="A131" s="87">
        <f t="shared" ca="1" si="9"/>
        <v>0.93017444943320648</v>
      </c>
      <c r="B131" s="93"/>
      <c r="C131" s="94" t="s">
        <v>37</v>
      </c>
      <c r="D131" s="95" t="s">
        <v>233</v>
      </c>
      <c r="E131" s="94" t="s">
        <v>234</v>
      </c>
      <c r="F131" s="94"/>
      <c r="G131" s="96">
        <v>2004</v>
      </c>
      <c r="H131" s="94" t="s">
        <v>13</v>
      </c>
      <c r="I131" s="94" t="s">
        <v>235</v>
      </c>
      <c r="J131" s="88" t="s">
        <v>1556</v>
      </c>
      <c r="K131" s="90" t="str">
        <f>CONCATENATE(SUBSTITUTE(Spotify!J140,",",";"),";",J131)</f>
        <v>soft pop;acoustic pop;acoustic;love;sweet</v>
      </c>
      <c r="L131" s="86"/>
      <c r="M131" s="54" t="str">
        <f>Spotify!B140</f>
        <v>I Won't Give Up</v>
      </c>
      <c r="N131" s="92" t="str">
        <f>Spotify!D140</f>
        <v>Jason Mraz</v>
      </c>
      <c r="O131" s="92">
        <f>Spotify!E140</f>
        <v>41012</v>
      </c>
      <c r="P131" s="54">
        <f>ROUND(Spotify!U140,0)</f>
        <v>133</v>
      </c>
      <c r="Q131" s="54">
        <f>ROUND(Spotify!L140*100,0)</f>
        <v>30</v>
      </c>
      <c r="R131" s="54">
        <f>ROUND(Spotify!K140*100,0)</f>
        <v>48</v>
      </c>
      <c r="S131" s="54">
        <f>Spotify!N140</f>
        <v>-10.058</v>
      </c>
      <c r="T131" s="54">
        <f>ROUND(Spotify!T140*100,0)</f>
        <v>14</v>
      </c>
      <c r="U131" s="54">
        <f>ROUND(Spotify!F140/60000,1)</f>
        <v>4</v>
      </c>
      <c r="V131" s="54">
        <f>ROUND(Spotify!Q140*100,0)</f>
        <v>69</v>
      </c>
      <c r="W131" s="54">
        <f>Spotify!G140</f>
        <v>72</v>
      </c>
    </row>
    <row r="132" spans="1:23" ht="15" x14ac:dyDescent="0.3">
      <c r="A132" s="87">
        <f t="shared" ca="1" si="9"/>
        <v>2.8936445939427791E-2</v>
      </c>
      <c r="B132" s="93"/>
      <c r="C132" s="94" t="s">
        <v>77</v>
      </c>
      <c r="D132" s="95" t="s">
        <v>240</v>
      </c>
      <c r="E132" s="94" t="s">
        <v>241</v>
      </c>
      <c r="F132" s="94"/>
      <c r="G132" s="96">
        <v>1976</v>
      </c>
      <c r="H132" s="94" t="s">
        <v>12</v>
      </c>
      <c r="I132" s="94"/>
      <c r="J132" s="88" t="s">
        <v>1421</v>
      </c>
      <c r="K132" s="90" t="str">
        <f>CONCATENATE(SUBSTITUTE(Spotify!J144,",",";"),";",J132)</f>
        <v>;retro;oldies;groovy</v>
      </c>
      <c r="L132" s="86"/>
      <c r="M132" s="54" t="str">
        <f>Spotify!B144</f>
        <v>I'll Be There for You (From "Friends")</v>
      </c>
      <c r="N132" s="92" t="str">
        <f>Spotify!D144</f>
        <v>The Rembrandts</v>
      </c>
      <c r="O132" s="92">
        <f>Spotify!E144</f>
        <v>2011</v>
      </c>
      <c r="P132" s="54">
        <f>ROUND(Spotify!U144,0)</f>
        <v>191</v>
      </c>
      <c r="Q132" s="54">
        <f>ROUND(Spotify!L144*100,0)</f>
        <v>71</v>
      </c>
      <c r="R132" s="54">
        <f>ROUND(Spotify!K144*100,0)</f>
        <v>29</v>
      </c>
      <c r="S132" s="54">
        <f>Spotify!N144</f>
        <v>-7.6369999999999996</v>
      </c>
      <c r="T132" s="54">
        <f>ROUND(Spotify!T144*100,0)</f>
        <v>75</v>
      </c>
      <c r="U132" s="54">
        <f>ROUND(Spotify!F144/60000,1)</f>
        <v>3</v>
      </c>
      <c r="V132" s="54">
        <f>ROUND(Spotify!Q144*100,0)</f>
        <v>4</v>
      </c>
      <c r="W132" s="54">
        <f>Spotify!G144</f>
        <v>0</v>
      </c>
    </row>
    <row r="133" spans="1:23" ht="15" x14ac:dyDescent="0.3">
      <c r="A133" s="87">
        <f t="shared" ca="1" si="9"/>
        <v>0.7659117036814086</v>
      </c>
      <c r="B133" s="93"/>
      <c r="C133" s="94"/>
      <c r="D133" s="95" t="s">
        <v>1584</v>
      </c>
      <c r="E133" s="94" t="s">
        <v>1585</v>
      </c>
      <c r="F133" s="94"/>
      <c r="G133" s="96">
        <v>1977</v>
      </c>
      <c r="H133" s="94" t="s">
        <v>12</v>
      </c>
      <c r="I133" s="94" t="s">
        <v>261</v>
      </c>
      <c r="J133" s="88" t="s">
        <v>1586</v>
      </c>
      <c r="K133" s="90" t="str">
        <f>CONCATENATE(SUBSTITUTE(Spotify!J145,",",";"),";",J133)</f>
        <v>folk rock;singer-songwriter;retro;oldies;groovy;love;dance</v>
      </c>
      <c r="L133" s="86"/>
      <c r="M133" s="54" t="str">
        <f>Spotify!B145</f>
        <v>I'll Have To Say I Love You In A Song</v>
      </c>
      <c r="N133" s="92" t="str">
        <f>Spotify!D145</f>
        <v>Jim Croce</v>
      </c>
      <c r="O133" s="92">
        <f>Spotify!E145</f>
        <v>26999</v>
      </c>
      <c r="P133" s="54">
        <f>ROUND(Spotify!U145,0)</f>
        <v>134</v>
      </c>
      <c r="Q133" s="54">
        <f>ROUND(Spotify!L145*100,0)</f>
        <v>45</v>
      </c>
      <c r="R133" s="54">
        <f>ROUND(Spotify!K145*100,0)</f>
        <v>54</v>
      </c>
      <c r="S133" s="54">
        <f>Spotify!N145</f>
        <v>-14.98</v>
      </c>
      <c r="T133" s="54">
        <f>ROUND(Spotify!T145*100,0)</f>
        <v>71</v>
      </c>
      <c r="U133" s="54">
        <f>ROUND(Spotify!F145/60000,1)</f>
        <v>2.6</v>
      </c>
      <c r="V133" s="54">
        <f>ROUND(Spotify!Q145*100,0)</f>
        <v>83</v>
      </c>
      <c r="W133" s="54">
        <f>Spotify!G145</f>
        <v>0</v>
      </c>
    </row>
    <row r="134" spans="1:23" ht="15" x14ac:dyDescent="0.3">
      <c r="A134" s="87">
        <f t="shared" ca="1" si="9"/>
        <v>0.42636544673012378</v>
      </c>
      <c r="B134" s="93"/>
      <c r="C134" s="94"/>
      <c r="D134" s="95" t="s">
        <v>242</v>
      </c>
      <c r="E134" s="94" t="s">
        <v>28</v>
      </c>
      <c r="F134" s="94"/>
      <c r="G134" s="96">
        <v>2015</v>
      </c>
      <c r="H134" s="94" t="s">
        <v>13</v>
      </c>
      <c r="I134" s="94" t="s">
        <v>29</v>
      </c>
      <c r="J134" s="88" t="s">
        <v>1422</v>
      </c>
      <c r="K134" s="90" t="str">
        <f>CONCATENATE(SUBSTITUTE(Spotify!J146,",",";"),";",J134)</f>
        <v>;dance;alternative;groovy;love</v>
      </c>
      <c r="L134" s="86"/>
      <c r="M134" s="54" t="str">
        <f>Spotify!B146</f>
        <v>I'm a Believer</v>
      </c>
      <c r="N134" s="92" t="str">
        <f>Spotify!D146</f>
        <v>The Monkees</v>
      </c>
      <c r="O134" s="92">
        <f>Spotify!E146</f>
        <v>39630</v>
      </c>
      <c r="P134" s="54">
        <f>ROUND(Spotify!U146,0)</f>
        <v>79</v>
      </c>
      <c r="Q134" s="54">
        <f>ROUND(Spotify!L146*100,0)</f>
        <v>77</v>
      </c>
      <c r="R134" s="54">
        <f>ROUND(Spotify!K146*100,0)</f>
        <v>50</v>
      </c>
      <c r="S134" s="54">
        <f>Spotify!N146</f>
        <v>-6.2050000000000001</v>
      </c>
      <c r="T134" s="54">
        <f>ROUND(Spotify!T146*100,0)</f>
        <v>94</v>
      </c>
      <c r="U134" s="54">
        <f>ROUND(Spotify!F146/60000,1)</f>
        <v>2.8</v>
      </c>
      <c r="V134" s="54">
        <f>ROUND(Spotify!Q146*100,0)</f>
        <v>60</v>
      </c>
      <c r="W134" s="54">
        <f>Spotify!G146</f>
        <v>59</v>
      </c>
    </row>
    <row r="135" spans="1:23" ht="15" x14ac:dyDescent="0.3">
      <c r="A135" s="87">
        <f t="shared" ca="1" si="9"/>
        <v>0.35463104240828935</v>
      </c>
      <c r="B135" s="93"/>
      <c r="C135" s="94"/>
      <c r="D135" s="95" t="s">
        <v>601</v>
      </c>
      <c r="E135" s="94" t="s">
        <v>138</v>
      </c>
      <c r="F135" s="94"/>
      <c r="G135" s="96">
        <v>1979</v>
      </c>
      <c r="H135" s="94" t="s">
        <v>13</v>
      </c>
      <c r="I135" s="94"/>
      <c r="J135" s="88" t="s">
        <v>1423</v>
      </c>
      <c r="K135" s="90" t="str">
        <f>CONCATENATE(SUBSTITUTE(Spotify!J147,",",";"),";",J135)</f>
        <v>soft pop;acoustic pop;slow;retro;oldies</v>
      </c>
      <c r="L135" s="86"/>
      <c r="M135" s="54" t="str">
        <f>Spotify!B147</f>
        <v>I'm Yours</v>
      </c>
      <c r="N135" s="92" t="str">
        <f>Spotify!D147</f>
        <v>Jason Mraz</v>
      </c>
      <c r="O135" s="92">
        <f>Spotify!E147</f>
        <v>39580</v>
      </c>
      <c r="P135" s="54">
        <f>ROUND(Spotify!U147,0)</f>
        <v>151</v>
      </c>
      <c r="Q135" s="54">
        <f>ROUND(Spotify!L147*100,0)</f>
        <v>44</v>
      </c>
      <c r="R135" s="54">
        <f>ROUND(Spotify!K147*100,0)</f>
        <v>70</v>
      </c>
      <c r="S135" s="54">
        <f>Spotify!N147</f>
        <v>-9.3309999999999995</v>
      </c>
      <c r="T135" s="54">
        <f>ROUND(Spotify!T147*100,0)</f>
        <v>71</v>
      </c>
      <c r="U135" s="54">
        <f>ROUND(Spotify!F147/60000,1)</f>
        <v>4</v>
      </c>
      <c r="V135" s="54">
        <f>ROUND(Spotify!Q147*100,0)</f>
        <v>56</v>
      </c>
      <c r="W135" s="54">
        <f>Spotify!G147</f>
        <v>79</v>
      </c>
    </row>
    <row r="136" spans="1:23" ht="15" x14ac:dyDescent="0.3">
      <c r="A136" s="87">
        <f t="shared" ca="1" si="9"/>
        <v>0.94706500953720885</v>
      </c>
      <c r="B136" s="93"/>
      <c r="C136" s="94" t="s">
        <v>93</v>
      </c>
      <c r="D136" s="100" t="s">
        <v>243</v>
      </c>
      <c r="E136" s="97" t="s">
        <v>90</v>
      </c>
      <c r="F136" s="94"/>
      <c r="G136" s="96">
        <v>1968</v>
      </c>
      <c r="H136" s="94" t="s">
        <v>12</v>
      </c>
      <c r="I136" s="94" t="s">
        <v>13</v>
      </c>
      <c r="J136" s="88" t="s">
        <v>1424</v>
      </c>
      <c r="K136" s="90" t="str">
        <f>CONCATENATE(SUBSTITUTE(Spotify!J148,",",";"),";",J136)</f>
        <v>classic rock;psychedelic rock;dance;fast;love;groovy;retro;oldies</v>
      </c>
      <c r="L136" s="86"/>
      <c r="M136" s="54" t="str">
        <f>Spotify!B148</f>
        <v>In My Life - Remastered 2009</v>
      </c>
      <c r="N136" s="92" t="str">
        <f>Spotify!D148</f>
        <v>The Beatles</v>
      </c>
      <c r="O136" s="92">
        <f>Spotify!E148</f>
        <v>24079</v>
      </c>
      <c r="P136" s="54">
        <f>ROUND(Spotify!U148,0)</f>
        <v>103</v>
      </c>
      <c r="Q136" s="54">
        <f>ROUND(Spotify!L148*100,0)</f>
        <v>44</v>
      </c>
      <c r="R136" s="54">
        <f>ROUND(Spotify!K148*100,0)</f>
        <v>69</v>
      </c>
      <c r="S136" s="54">
        <f>Spotify!N148</f>
        <v>-11.359</v>
      </c>
      <c r="T136" s="54">
        <f>ROUND(Spotify!T148*100,0)</f>
        <v>44</v>
      </c>
      <c r="U136" s="54">
        <f>ROUND(Spotify!F148/60000,1)</f>
        <v>2.4</v>
      </c>
      <c r="V136" s="54">
        <f>ROUND(Spotify!Q148*100,0)</f>
        <v>45</v>
      </c>
      <c r="W136" s="54">
        <f>Spotify!G148</f>
        <v>79</v>
      </c>
    </row>
    <row r="137" spans="1:23" ht="15" x14ac:dyDescent="0.3">
      <c r="A137" s="87">
        <f t="shared" ref="A137:A147" ca="1" si="10">RAND()</f>
        <v>0.61923884104481441</v>
      </c>
      <c r="B137" s="93"/>
      <c r="C137" s="94" t="s">
        <v>37</v>
      </c>
      <c r="D137" s="100" t="s">
        <v>530</v>
      </c>
      <c r="E137" s="94" t="s">
        <v>90</v>
      </c>
      <c r="F137" s="94"/>
      <c r="G137" s="96">
        <v>1963</v>
      </c>
      <c r="H137" s="94" t="s">
        <v>12</v>
      </c>
      <c r="I137" s="94" t="s">
        <v>13</v>
      </c>
      <c r="J137" s="88" t="s">
        <v>1424</v>
      </c>
      <c r="K137" s="90" t="str">
        <f>CONCATENATE(SUBSTITUTE(Spotify!J149,",",";"),";",J137)</f>
        <v>;dance;fast;love;groovy;retro;oldies</v>
      </c>
      <c r="L137" s="86"/>
      <c r="M137" s="54" t="str">
        <f>Spotify!B149</f>
        <v>In the Summertime</v>
      </c>
      <c r="N137" s="92" t="str">
        <f>Spotify!D149</f>
        <v>Mungo Jerry</v>
      </c>
      <c r="O137" s="92">
        <f>Spotify!E149</f>
        <v>25569</v>
      </c>
      <c r="P137" s="54">
        <f>ROUND(Spotify!U149,0)</f>
        <v>164</v>
      </c>
      <c r="Q137" s="54">
        <f>ROUND(Spotify!L149*100,0)</f>
        <v>65</v>
      </c>
      <c r="R137" s="54">
        <f>ROUND(Spotify!K149*100,0)</f>
        <v>64</v>
      </c>
      <c r="S137" s="54">
        <f>Spotify!N149</f>
        <v>-8.5670000000000002</v>
      </c>
      <c r="T137" s="54">
        <f>ROUND(Spotify!T149*100,0)</f>
        <v>97</v>
      </c>
      <c r="U137" s="54">
        <f>ROUND(Spotify!F149/60000,1)</f>
        <v>3.6</v>
      </c>
      <c r="V137" s="54">
        <f>ROUND(Spotify!Q149*100,0)</f>
        <v>66</v>
      </c>
      <c r="W137" s="54">
        <f>Spotify!G149</f>
        <v>2</v>
      </c>
    </row>
    <row r="138" spans="1:23" ht="15" x14ac:dyDescent="0.3">
      <c r="A138" s="87">
        <f t="shared" ca="1" si="10"/>
        <v>0.49051581553840906</v>
      </c>
      <c r="B138" s="93" t="s">
        <v>1</v>
      </c>
      <c r="C138" s="94" t="s">
        <v>37</v>
      </c>
      <c r="D138" s="95" t="s">
        <v>244</v>
      </c>
      <c r="E138" s="94" t="s">
        <v>167</v>
      </c>
      <c r="F138" s="94"/>
      <c r="G138" s="96">
        <v>2006</v>
      </c>
      <c r="H138" s="94" t="s">
        <v>12</v>
      </c>
      <c r="I138" s="94" t="s">
        <v>245</v>
      </c>
      <c r="J138" s="88" t="s">
        <v>1425</v>
      </c>
      <c r="K138" s="90" t="str">
        <f>CONCATENATE(SUBSTITUTE(Spotify!J150,",",";"),";",J138)</f>
        <v>french house;electronic;electro;acoustic;love;alternative</v>
      </c>
      <c r="L138" s="86"/>
      <c r="M138" s="54" t="str">
        <f>Spotify!B150</f>
        <v>Instant Crush (feat. Julian Casablancas)</v>
      </c>
      <c r="N138" s="92" t="str">
        <f>Spotify!D150</f>
        <v>Daft Punk;Julian Casablancas</v>
      </c>
      <c r="O138" s="92">
        <f>Spotify!E150</f>
        <v>41414</v>
      </c>
      <c r="P138" s="54">
        <f>ROUND(Spotify!U150,0)</f>
        <v>110</v>
      </c>
      <c r="Q138" s="54">
        <f>ROUND(Spotify!L150*100,0)</f>
        <v>59</v>
      </c>
      <c r="R138" s="54">
        <f>ROUND(Spotify!K150*100,0)</f>
        <v>78</v>
      </c>
      <c r="S138" s="54">
        <f>Spotify!N150</f>
        <v>-9.516</v>
      </c>
      <c r="T138" s="54">
        <f>ROUND(Spotify!T150*100,0)</f>
        <v>52</v>
      </c>
      <c r="U138" s="54">
        <f>ROUND(Spotify!F150/60000,1)</f>
        <v>5.6</v>
      </c>
      <c r="V138" s="54">
        <f>ROUND(Spotify!Q150*100,0)</f>
        <v>4</v>
      </c>
      <c r="W138" s="54">
        <f>Spotify!G150</f>
        <v>79</v>
      </c>
    </row>
    <row r="139" spans="1:23" ht="15" x14ac:dyDescent="0.3">
      <c r="A139" s="87">
        <f t="shared" ca="1" si="10"/>
        <v>0.2823190594345012</v>
      </c>
      <c r="B139" s="93"/>
      <c r="C139" s="94" t="s">
        <v>26</v>
      </c>
      <c r="D139" s="95" t="s">
        <v>246</v>
      </c>
      <c r="E139" s="94" t="s">
        <v>1365</v>
      </c>
      <c r="F139" s="94"/>
      <c r="G139" s="96">
        <v>1978</v>
      </c>
      <c r="H139" s="94" t="s">
        <v>118</v>
      </c>
      <c r="I139" s="94" t="s">
        <v>13</v>
      </c>
      <c r="J139" s="88" t="s">
        <v>1412</v>
      </c>
      <c r="K139" s="90" t="str">
        <f>CONCATENATE(SUBSTITUTE(Spotify!J151,",",";"),";",J139)</f>
        <v>;retro;oldies;dance;groovy;love</v>
      </c>
      <c r="L139" s="86"/>
      <c r="M139" s="54" t="str">
        <f>Spotify!B151</f>
        <v>Iris</v>
      </c>
      <c r="N139" s="92" t="str">
        <f>Spotify!D151</f>
        <v>The Goo Goo Dolls</v>
      </c>
      <c r="O139" s="92">
        <f>Spotify!E151</f>
        <v>1998</v>
      </c>
      <c r="P139" s="54">
        <f>ROUND(Spotify!U151,0)</f>
        <v>156</v>
      </c>
      <c r="Q139" s="54">
        <f>ROUND(Spotify!L151*100,0)</f>
        <v>72</v>
      </c>
      <c r="R139" s="54">
        <f>ROUND(Spotify!K151*100,0)</f>
        <v>32</v>
      </c>
      <c r="S139" s="54">
        <f>Spotify!N151</f>
        <v>-8.0719999999999992</v>
      </c>
      <c r="T139" s="54">
        <f>ROUND(Spotify!T151*100,0)</f>
        <v>50</v>
      </c>
      <c r="U139" s="54">
        <f>ROUND(Spotify!F151/60000,1)</f>
        <v>4.8</v>
      </c>
      <c r="V139" s="54">
        <f>ROUND(Spotify!Q151*100,0)</f>
        <v>0</v>
      </c>
      <c r="W139" s="54">
        <f>Spotify!G151</f>
        <v>94</v>
      </c>
    </row>
    <row r="140" spans="1:23" ht="15" x14ac:dyDescent="0.3">
      <c r="A140" s="87">
        <f t="shared" ca="1" si="10"/>
        <v>0.31443839331132373</v>
      </c>
      <c r="B140" s="93"/>
      <c r="C140" s="94" t="s">
        <v>21</v>
      </c>
      <c r="D140" s="89" t="s">
        <v>632</v>
      </c>
      <c r="E140" s="94" t="s">
        <v>107</v>
      </c>
      <c r="F140" s="94"/>
      <c r="G140" s="96">
        <v>2012</v>
      </c>
      <c r="H140" s="94" t="s">
        <v>13</v>
      </c>
      <c r="I140" s="94" t="s">
        <v>66</v>
      </c>
      <c r="J140" s="88" t="s">
        <v>1522</v>
      </c>
      <c r="K140" s="90" t="str">
        <f>CONCATENATE(SUBSTITUTE(Spotify!J152,",",";"),";",J140)</f>
        <v>jangle pop;alternative rock;rock;slow;love;dance;waltz</v>
      </c>
      <c r="L140" s="86"/>
      <c r="M140" s="54" t="str">
        <f>Spotify!B152</f>
        <v>It's The End Of The World As We Know It (And I Feel Fine)</v>
      </c>
      <c r="N140" s="92" t="str">
        <f>Spotify!D152</f>
        <v>R.E.M.</v>
      </c>
      <c r="O140" s="92">
        <f>Spotify!E152</f>
        <v>32021</v>
      </c>
      <c r="P140" s="54">
        <f>ROUND(Spotify!U152,0)</f>
        <v>206</v>
      </c>
      <c r="Q140" s="54">
        <f>ROUND(Spotify!L152*100,0)</f>
        <v>89</v>
      </c>
      <c r="R140" s="54">
        <f>ROUND(Spotify!K152*100,0)</f>
        <v>38</v>
      </c>
      <c r="S140" s="54">
        <f>Spotify!N152</f>
        <v>-8.6379999999999999</v>
      </c>
      <c r="T140" s="54">
        <f>ROUND(Spotify!T152*100,0)</f>
        <v>80</v>
      </c>
      <c r="U140" s="54">
        <f>ROUND(Spotify!F152/60000,1)</f>
        <v>4.0999999999999996</v>
      </c>
      <c r="V140" s="54">
        <f>ROUND(Spotify!Q152*100,0)</f>
        <v>3</v>
      </c>
      <c r="W140" s="54">
        <f>Spotify!G152</f>
        <v>70</v>
      </c>
    </row>
    <row r="141" spans="1:23" s="53" customFormat="1" ht="15" x14ac:dyDescent="0.3">
      <c r="A141" s="87">
        <f t="shared" ca="1" si="10"/>
        <v>0.81731543577999055</v>
      </c>
      <c r="B141" s="93" t="s">
        <v>1</v>
      </c>
      <c r="C141" s="94" t="s">
        <v>14</v>
      </c>
      <c r="D141" s="89" t="s">
        <v>258</v>
      </c>
      <c r="E141" s="97" t="s">
        <v>178</v>
      </c>
      <c r="F141" s="97"/>
      <c r="G141" s="98">
        <v>1971</v>
      </c>
      <c r="H141" s="97" t="s">
        <v>170</v>
      </c>
      <c r="I141" s="97" t="s">
        <v>33</v>
      </c>
      <c r="J141" s="90" t="s">
        <v>1539</v>
      </c>
      <c r="K141" s="90" t="str">
        <f>CONCATENATE(SUBSTITUTE(Spotify!J154,",",";"),";",J141)</f>
        <v>soft pop;love;slow;oldies;retro;sweet</v>
      </c>
      <c r="L141" s="86"/>
      <c r="M141" s="54" t="str">
        <f>Spotify!B154</f>
        <v>jar of hearts</v>
      </c>
      <c r="N141" s="92" t="str">
        <f>Spotify!D154</f>
        <v>Christina Perri</v>
      </c>
      <c r="O141" s="92">
        <f>Spotify!E154</f>
        <v>40673</v>
      </c>
      <c r="P141" s="54">
        <f>ROUND(Spotify!U154,0)</f>
        <v>75</v>
      </c>
      <c r="Q141" s="54">
        <f>ROUND(Spotify!L154*100,0)</f>
        <v>35</v>
      </c>
      <c r="R141" s="54">
        <f>ROUND(Spotify!K154*100,0)</f>
        <v>35</v>
      </c>
      <c r="S141" s="54">
        <f>Spotify!N154</f>
        <v>-6.1420000000000003</v>
      </c>
      <c r="T141" s="54">
        <f>ROUND(Spotify!T154*100,0)</f>
        <v>9</v>
      </c>
      <c r="U141" s="54">
        <f>ROUND(Spotify!F154/60000,1)</f>
        <v>4.0999999999999996</v>
      </c>
      <c r="V141" s="54">
        <f>ROUND(Spotify!Q154*100,0)</f>
        <v>73</v>
      </c>
      <c r="W141" s="54">
        <f>Spotify!G154</f>
        <v>75</v>
      </c>
    </row>
    <row r="142" spans="1:23" ht="15" x14ac:dyDescent="0.3">
      <c r="A142" s="87">
        <f t="shared" ca="1" si="10"/>
        <v>0.850661897886824</v>
      </c>
      <c r="B142" s="93"/>
      <c r="C142" s="94"/>
      <c r="D142" s="89" t="s">
        <v>653</v>
      </c>
      <c r="E142" s="94" t="s">
        <v>654</v>
      </c>
      <c r="F142" s="94"/>
      <c r="G142" s="96">
        <v>2003</v>
      </c>
      <c r="H142" s="94" t="s">
        <v>69</v>
      </c>
      <c r="I142" s="94"/>
      <c r="J142" s="88" t="s">
        <v>1523</v>
      </c>
      <c r="K142" s="90" t="str">
        <f>CONCATENATE(SUBSTITUTE(Spotify!J155,",",";"),";",J142)</f>
        <v>rockabilly;rock and roll;jazz;slow;love;waltz</v>
      </c>
      <c r="L142" s="86"/>
      <c r="M142" s="54" t="str">
        <f>Spotify!B155</f>
        <v>Johnny B. Goode</v>
      </c>
      <c r="N142" s="92" t="str">
        <f>Spotify!D155</f>
        <v>Chuck Berry</v>
      </c>
      <c r="O142" s="92">
        <f>Spotify!E155</f>
        <v>21732</v>
      </c>
      <c r="P142" s="54">
        <f>ROUND(Spotify!U155,0)</f>
        <v>168</v>
      </c>
      <c r="Q142" s="54">
        <f>ROUND(Spotify!L155*100,0)</f>
        <v>80</v>
      </c>
      <c r="R142" s="54">
        <f>ROUND(Spotify!K155*100,0)</f>
        <v>53</v>
      </c>
      <c r="S142" s="54">
        <f>Spotify!N155</f>
        <v>-9.1289999999999996</v>
      </c>
      <c r="T142" s="54">
        <f>ROUND(Spotify!T155*100,0)</f>
        <v>97</v>
      </c>
      <c r="U142" s="54">
        <f>ROUND(Spotify!F155/60000,1)</f>
        <v>2.7</v>
      </c>
      <c r="V142" s="54">
        <f>ROUND(Spotify!Q155*100,0)</f>
        <v>74</v>
      </c>
      <c r="W142" s="54">
        <f>Spotify!G155</f>
        <v>77</v>
      </c>
    </row>
    <row r="143" spans="1:23" ht="15" x14ac:dyDescent="0.3">
      <c r="A143" s="87">
        <f t="shared" ca="1" si="10"/>
        <v>0.31914886762032613</v>
      </c>
      <c r="B143" s="93" t="s">
        <v>1</v>
      </c>
      <c r="C143" s="94" t="s">
        <v>94</v>
      </c>
      <c r="D143" s="95" t="s">
        <v>259</v>
      </c>
      <c r="E143" s="94" t="s">
        <v>571</v>
      </c>
      <c r="F143" s="94" t="s">
        <v>260</v>
      </c>
      <c r="G143" s="96">
        <v>1962</v>
      </c>
      <c r="H143" s="94" t="s">
        <v>63</v>
      </c>
      <c r="I143" s="94"/>
      <c r="J143" s="88" t="s">
        <v>1566</v>
      </c>
      <c r="K143" s="90" t="str">
        <f>CONCATENATE(SUBSTITUTE(Spotify!J156,",",";"),";",J143)</f>
        <v>country;classic country;fast;dance;groovy;retro;oldies;folk</v>
      </c>
      <c r="L143" s="86"/>
      <c r="M143" s="54" t="str">
        <f>Spotify!B156</f>
        <v>Jolene</v>
      </c>
      <c r="N143" s="92" t="str">
        <f>Spotify!D156</f>
        <v>Dolly Parton</v>
      </c>
      <c r="O143" s="92">
        <f>Spotify!E156</f>
        <v>27064</v>
      </c>
      <c r="P143" s="54">
        <f>ROUND(Spotify!U156,0)</f>
        <v>111</v>
      </c>
      <c r="Q143" s="54">
        <f>ROUND(Spotify!L156*100,0)</f>
        <v>54</v>
      </c>
      <c r="R143" s="54">
        <f>ROUND(Spotify!K156*100,0)</f>
        <v>67</v>
      </c>
      <c r="S143" s="54">
        <f>Spotify!N156</f>
        <v>-10.971</v>
      </c>
      <c r="T143" s="54">
        <f>ROUND(Spotify!T156*100,0)</f>
        <v>81</v>
      </c>
      <c r="U143" s="54">
        <f>ROUND(Spotify!F156/60000,1)</f>
        <v>2.7</v>
      </c>
      <c r="V143" s="54">
        <f>ROUND(Spotify!Q156*100,0)</f>
        <v>57</v>
      </c>
      <c r="W143" s="54">
        <f>Spotify!G156</f>
        <v>74</v>
      </c>
    </row>
    <row r="144" spans="1:23" ht="15" x14ac:dyDescent="0.3">
      <c r="A144" s="87">
        <f t="shared" ca="1" si="10"/>
        <v>0.19545782248433241</v>
      </c>
      <c r="B144" s="93"/>
      <c r="C144" s="94" t="s">
        <v>30</v>
      </c>
      <c r="D144" s="95" t="s">
        <v>1642</v>
      </c>
      <c r="E144" s="94" t="s">
        <v>251</v>
      </c>
      <c r="F144" s="94"/>
      <c r="G144" s="96">
        <v>1995</v>
      </c>
      <c r="H144" s="94" t="s">
        <v>12</v>
      </c>
      <c r="I144" s="94" t="s">
        <v>252</v>
      </c>
      <c r="J144" s="88" t="s">
        <v>1390</v>
      </c>
      <c r="K144" s="90" t="str">
        <f>CONCATENATE(SUBSTITUTE(Spotify!J157,",",";"),";",J144)</f>
        <v>;dance;fast;love;groovy</v>
      </c>
      <c r="L144" s="86"/>
      <c r="M144" s="54" t="str">
        <f>Spotify!B157</f>
        <v>Just Give Me a Reason (feat. Nate Ruess)</v>
      </c>
      <c r="N144" s="92" t="str">
        <f>Spotify!D157</f>
        <v>P!nk;Nate Ruess</v>
      </c>
      <c r="O144" s="92">
        <f>Spotify!E157</f>
        <v>41170</v>
      </c>
      <c r="P144" s="54">
        <f>ROUND(Spotify!U157,0)</f>
        <v>95</v>
      </c>
      <c r="Q144" s="54">
        <f>ROUND(Spotify!L157*100,0)</f>
        <v>55</v>
      </c>
      <c r="R144" s="54">
        <f>ROUND(Spotify!K157*100,0)</f>
        <v>78</v>
      </c>
      <c r="S144" s="54">
        <f>Spotify!N157</f>
        <v>-7.2729999999999997</v>
      </c>
      <c r="T144" s="54">
        <f>ROUND(Spotify!T157*100,0)</f>
        <v>44</v>
      </c>
      <c r="U144" s="54">
        <f>ROUND(Spotify!F157/60000,1)</f>
        <v>4</v>
      </c>
      <c r="V144" s="54">
        <f>ROUND(Spotify!Q157*100,0)</f>
        <v>34</v>
      </c>
      <c r="W144" s="54">
        <f>Spotify!G157</f>
        <v>87</v>
      </c>
    </row>
    <row r="145" spans="1:23" ht="15" x14ac:dyDescent="0.3">
      <c r="A145" s="87">
        <f t="shared" ca="1" si="10"/>
        <v>0.82565130146100429</v>
      </c>
      <c r="B145" s="93" t="s">
        <v>1</v>
      </c>
      <c r="C145" s="94" t="s">
        <v>30</v>
      </c>
      <c r="D145" s="95" t="s">
        <v>708</v>
      </c>
      <c r="E145" s="94" t="s">
        <v>340</v>
      </c>
      <c r="F145" s="94"/>
      <c r="G145" s="96">
        <v>1973</v>
      </c>
      <c r="H145" s="94" t="s">
        <v>63</v>
      </c>
      <c r="I145" s="94" t="s">
        <v>12</v>
      </c>
      <c r="J145" s="88" t="s">
        <v>1567</v>
      </c>
      <c r="K145" s="90" t="str">
        <f>CONCATENATE(SUBSTITUTE(Spotify!J158,",",";"),";",J145)</f>
        <v>new wave;post-punk;gothic rock;darkwave;acoustic;love;slow;groovy;oldies;retro;sweet;folk</v>
      </c>
      <c r="L145" s="86"/>
      <c r="M145" s="54" t="str">
        <f>Spotify!B158</f>
        <v>Just Like Heaven - Remastered 2006</v>
      </c>
      <c r="N145" s="92" t="str">
        <f>Spotify!D158</f>
        <v>The Cure</v>
      </c>
      <c r="O145" s="92">
        <f>Spotify!E158</f>
        <v>31923</v>
      </c>
      <c r="P145" s="54">
        <f>ROUND(Spotify!U158,0)</f>
        <v>151</v>
      </c>
      <c r="Q145" s="54">
        <f>ROUND(Spotify!L158*100,0)</f>
        <v>94</v>
      </c>
      <c r="R145" s="54">
        <f>ROUND(Spotify!K158*100,0)</f>
        <v>44</v>
      </c>
      <c r="S145" s="54">
        <f>Spotify!N158</f>
        <v>-6.9459999999999997</v>
      </c>
      <c r="T145" s="54">
        <f>ROUND(Spotify!T158*100,0)</f>
        <v>48</v>
      </c>
      <c r="U145" s="54">
        <f>ROUND(Spotify!F158/60000,1)</f>
        <v>3.5</v>
      </c>
      <c r="V145" s="54">
        <f>ROUND(Spotify!Q158*100,0)</f>
        <v>5</v>
      </c>
      <c r="W145" s="54">
        <f>Spotify!G158</f>
        <v>72</v>
      </c>
    </row>
    <row r="146" spans="1:23" ht="15" x14ac:dyDescent="0.3">
      <c r="A146" s="87">
        <f t="shared" ca="1" si="10"/>
        <v>0.78592216388886804</v>
      </c>
      <c r="B146" s="99"/>
      <c r="C146" s="97" t="s">
        <v>46</v>
      </c>
      <c r="D146" s="89" t="s">
        <v>253</v>
      </c>
      <c r="E146" s="97" t="s">
        <v>254</v>
      </c>
      <c r="F146" s="97"/>
      <c r="G146" s="98">
        <v>1967</v>
      </c>
      <c r="H146" s="97" t="s">
        <v>13</v>
      </c>
      <c r="I146" s="97" t="s">
        <v>255</v>
      </c>
      <c r="J146" s="90" t="s">
        <v>1426</v>
      </c>
      <c r="K146" s="90" t="str">
        <f>CONCATENATE(SUBSTITUTE(Spotify!J159,",",";"),";",J146)</f>
        <v>french jazz;vocal jazz;jazz;jazz pop;brazilian jazz;oldies;retro;fast;dance;groovy;love</v>
      </c>
      <c r="L146" s="86"/>
      <c r="M146" s="54" t="str">
        <f>Spotify!B159</f>
        <v>Just The Two Of Us</v>
      </c>
      <c r="N146" s="92" t="str">
        <f>Spotify!D159</f>
        <v>Cyrille Aimee;Diego Figueiredo</v>
      </c>
      <c r="O146" s="92">
        <f>Spotify!E159</f>
        <v>40499</v>
      </c>
      <c r="P146" s="54">
        <f>ROUND(Spotify!U159,0)</f>
        <v>96</v>
      </c>
      <c r="Q146" s="54">
        <f>ROUND(Spotify!L159*100,0)</f>
        <v>32</v>
      </c>
      <c r="R146" s="54">
        <f>ROUND(Spotify!K159*100,0)</f>
        <v>71</v>
      </c>
      <c r="S146" s="54">
        <f>Spotify!N159</f>
        <v>-6.633</v>
      </c>
      <c r="T146" s="54">
        <f>ROUND(Spotify!T159*100,0)</f>
        <v>50</v>
      </c>
      <c r="U146" s="54">
        <f>ROUND(Spotify!F159/60000,1)</f>
        <v>5</v>
      </c>
      <c r="V146" s="54">
        <f>ROUND(Spotify!Q159*100,0)</f>
        <v>91</v>
      </c>
      <c r="W146" s="54">
        <f>Spotify!G159</f>
        <v>47</v>
      </c>
    </row>
    <row r="147" spans="1:23" ht="15" x14ac:dyDescent="0.3">
      <c r="A147" s="87">
        <f t="shared" ca="1" si="10"/>
        <v>0.78839955940286455</v>
      </c>
      <c r="B147" s="93"/>
      <c r="C147" s="94"/>
      <c r="D147" s="95" t="s">
        <v>256</v>
      </c>
      <c r="E147" s="94" t="s">
        <v>107</v>
      </c>
      <c r="F147" s="94"/>
      <c r="G147" s="96">
        <v>2008</v>
      </c>
      <c r="H147" s="94" t="s">
        <v>12</v>
      </c>
      <c r="I147" s="94" t="s">
        <v>257</v>
      </c>
      <c r="J147" s="88" t="s">
        <v>1379</v>
      </c>
      <c r="K147" s="90" t="str">
        <f>CONCATENATE(SUBSTITUTE(Spotify!J160,",",";"),";",J147)</f>
        <v>;love;groovy;dance</v>
      </c>
      <c r="L147" s="86"/>
      <c r="M147" s="54" t="str">
        <f>Spotify!B160</f>
        <v>Just the Way You Are</v>
      </c>
      <c r="N147" s="92" t="str">
        <f>Spotify!D160</f>
        <v>Bruno Mars</v>
      </c>
      <c r="O147" s="92">
        <f>Spotify!E160</f>
        <v>40309</v>
      </c>
      <c r="P147" s="54">
        <f>ROUND(Spotify!U160,0)</f>
        <v>109</v>
      </c>
      <c r="Q147" s="54">
        <f>ROUND(Spotify!L160*100,0)</f>
        <v>84</v>
      </c>
      <c r="R147" s="54">
        <f>ROUND(Spotify!K160*100,0)</f>
        <v>64</v>
      </c>
      <c r="S147" s="54">
        <f>Spotify!N160</f>
        <v>-5.3789999999999996</v>
      </c>
      <c r="T147" s="54">
        <f>ROUND(Spotify!T160*100,0)</f>
        <v>42</v>
      </c>
      <c r="U147" s="54">
        <f>ROUND(Spotify!F160/60000,1)</f>
        <v>3.7</v>
      </c>
      <c r="V147" s="54">
        <f>ROUND(Spotify!Q160*100,0)</f>
        <v>1</v>
      </c>
      <c r="W147" s="54">
        <f>Spotify!G160</f>
        <v>88</v>
      </c>
    </row>
    <row r="148" spans="1:23" s="53" customFormat="1" ht="15" x14ac:dyDescent="0.3">
      <c r="A148" s="87"/>
      <c r="B148" s="93" t="s">
        <v>1</v>
      </c>
      <c r="C148" s="94"/>
      <c r="D148" s="95" t="s">
        <v>1606</v>
      </c>
      <c r="E148" s="94" t="s">
        <v>90</v>
      </c>
      <c r="F148" s="94"/>
      <c r="G148" s="96">
        <v>1965</v>
      </c>
      <c r="H148" s="94" t="s">
        <v>12</v>
      </c>
      <c r="I148" s="94" t="s">
        <v>13</v>
      </c>
      <c r="J148" s="88" t="s">
        <v>1607</v>
      </c>
      <c r="K148" s="90" t="str">
        <f>CONCATENATE(SUBSTITUTE(Spotify!J161,",",";"),";",J148)</f>
        <v>;love;dance;groovy</v>
      </c>
      <c r="L148" s="86"/>
      <c r="M148" s="54" t="str">
        <f>Spotify!B161</f>
        <v>Killing Me Softly</v>
      </c>
      <c r="N148" s="92" t="str">
        <f>Spotify!D161</f>
        <v>Lori Lieberman</v>
      </c>
      <c r="O148" s="92">
        <f>Spotify!E161</f>
        <v>34700</v>
      </c>
      <c r="P148" s="54">
        <f>ROUND(Spotify!U161,0)</f>
        <v>100</v>
      </c>
      <c r="Q148" s="54">
        <f>ROUND(Spotify!L161*100,0)</f>
        <v>2</v>
      </c>
      <c r="R148" s="54">
        <f>ROUND(Spotify!K161*100,0)</f>
        <v>51</v>
      </c>
      <c r="S148" s="54">
        <f>Spotify!N161</f>
        <v>-24.684000000000001</v>
      </c>
      <c r="T148" s="54">
        <f>ROUND(Spotify!T161*100,0)</f>
        <v>26</v>
      </c>
      <c r="U148" s="54">
        <f>ROUND(Spotify!F161/60000,1)</f>
        <v>3.7</v>
      </c>
      <c r="V148" s="54">
        <f>ROUND(Spotify!Q161*100,0)</f>
        <v>97</v>
      </c>
      <c r="W148" s="54">
        <f>Spotify!G161</f>
        <v>36</v>
      </c>
    </row>
    <row r="149" spans="1:23" s="53" customFormat="1" ht="15" x14ac:dyDescent="0.3">
      <c r="A149" s="87">
        <f ca="1">RAND()</f>
        <v>7.4642274039866452E-2</v>
      </c>
      <c r="B149" s="93" t="s">
        <v>1</v>
      </c>
      <c r="C149" s="94"/>
      <c r="D149" s="100" t="s">
        <v>610</v>
      </c>
      <c r="E149" s="94" t="s">
        <v>611</v>
      </c>
      <c r="F149" s="94"/>
      <c r="G149" s="96">
        <v>1970</v>
      </c>
      <c r="H149" s="94" t="s">
        <v>612</v>
      </c>
      <c r="I149" s="94"/>
      <c r="J149" s="88" t="s">
        <v>1449</v>
      </c>
      <c r="K149" s="90" t="str">
        <f>CONCATENATE(SUBSTITUTE(Spotify!J162,",",";"),";",J149)</f>
        <v>;alternative;dance;groovy;oldies;retro</v>
      </c>
      <c r="L149" s="86"/>
      <c r="M149" s="54" t="str">
        <f>Spotify!B162</f>
        <v>Kiss Me</v>
      </c>
      <c r="N149" s="92" t="str">
        <f>Spotify!D162</f>
        <v>Sixpence None The Richer</v>
      </c>
      <c r="O149" s="92">
        <f>Spotify!E162</f>
        <v>35756</v>
      </c>
      <c r="P149" s="54">
        <f>ROUND(Spotify!U162,0)</f>
        <v>100</v>
      </c>
      <c r="Q149" s="54">
        <f>ROUND(Spotify!L162*100,0)</f>
        <v>75</v>
      </c>
      <c r="R149" s="54">
        <f>ROUND(Spotify!K162*100,0)</f>
        <v>53</v>
      </c>
      <c r="S149" s="54">
        <f>Spotify!N162</f>
        <v>-6.9640000000000004</v>
      </c>
      <c r="T149" s="54">
        <f>ROUND(Spotify!T162*100,0)</f>
        <v>42</v>
      </c>
      <c r="U149" s="54">
        <f>ROUND(Spotify!F162/60000,1)</f>
        <v>3.5</v>
      </c>
      <c r="V149" s="54">
        <f>ROUND(Spotify!Q162*100,0)</f>
        <v>2</v>
      </c>
      <c r="W149" s="54">
        <f>Spotify!G162</f>
        <v>86</v>
      </c>
    </row>
    <row r="150" spans="1:23" s="53" customFormat="1" ht="15" x14ac:dyDescent="0.3">
      <c r="A150" s="87">
        <f ca="1">RAND()</f>
        <v>0.950244968495915</v>
      </c>
      <c r="B150" s="93" t="s">
        <v>1</v>
      </c>
      <c r="C150" s="94" t="s">
        <v>77</v>
      </c>
      <c r="D150" s="100" t="s">
        <v>552</v>
      </c>
      <c r="E150" s="94" t="s">
        <v>204</v>
      </c>
      <c r="F150" s="94"/>
      <c r="G150" s="96">
        <v>2013</v>
      </c>
      <c r="H150" s="94" t="s">
        <v>118</v>
      </c>
      <c r="I150" s="94"/>
      <c r="J150" s="88" t="s">
        <v>1427</v>
      </c>
      <c r="K150" s="90" t="str">
        <f>CONCATENATE(SUBSTITUTE(Spotify!J163,",",";"),";",J150)</f>
        <v>;alternative;dance;love</v>
      </c>
      <c r="L150" s="86"/>
      <c r="M150" s="54" t="str">
        <f>Spotify!B163</f>
        <v>La Isla Bonita</v>
      </c>
      <c r="N150" s="92" t="str">
        <f>Spotify!D163</f>
        <v>Madonna</v>
      </c>
      <c r="O150" s="92">
        <f>Spotify!E163</f>
        <v>31593</v>
      </c>
      <c r="P150" s="54">
        <f>ROUND(Spotify!U163,0)</f>
        <v>100</v>
      </c>
      <c r="Q150" s="54">
        <f>ROUND(Spotify!L163*100,0)</f>
        <v>82</v>
      </c>
      <c r="R150" s="54">
        <f>ROUND(Spotify!K163*100,0)</f>
        <v>72</v>
      </c>
      <c r="S150" s="54">
        <f>Spotify!N163</f>
        <v>-4.3739999999999997</v>
      </c>
      <c r="T150" s="54">
        <f>ROUND(Spotify!T163*100,0)</f>
        <v>96</v>
      </c>
      <c r="U150" s="54">
        <f>ROUND(Spotify!F163/60000,1)</f>
        <v>4</v>
      </c>
      <c r="V150" s="54">
        <f>ROUND(Spotify!Q163*100,0)</f>
        <v>30</v>
      </c>
      <c r="W150" s="54">
        <f>Spotify!G163</f>
        <v>78</v>
      </c>
    </row>
    <row r="151" spans="1:23" ht="15" x14ac:dyDescent="0.3">
      <c r="A151" s="87"/>
      <c r="B151" s="93"/>
      <c r="C151" s="94"/>
      <c r="D151" s="100" t="s">
        <v>1716</v>
      </c>
      <c r="E151" s="94" t="s">
        <v>1769</v>
      </c>
      <c r="F151" s="94"/>
      <c r="G151" s="96">
        <v>1998</v>
      </c>
      <c r="H151" s="94" t="s">
        <v>12</v>
      </c>
      <c r="I151" s="94"/>
      <c r="J151" s="88"/>
      <c r="K151" s="90" t="str">
        <f>CONCATENATE(SUBSTITUTE(Spotify!J164,",",";"),";",J151)</f>
        <v>jazz;swing music;vocal jazz;big band;</v>
      </c>
      <c r="L151" s="86"/>
      <c r="M151" s="54" t="str">
        <f>Spotify!B164</f>
        <v>La vie en rose</v>
      </c>
      <c r="N151" s="92" t="str">
        <f>Spotify!D164</f>
        <v>Louis Armstrong</v>
      </c>
      <c r="O151" s="92">
        <f>Spotify!E164</f>
        <v>42370</v>
      </c>
      <c r="P151" s="54">
        <f>ROUND(Spotify!U164,0)</f>
        <v>71</v>
      </c>
      <c r="Q151" s="54">
        <f>ROUND(Spotify!L164*100,0)</f>
        <v>7</v>
      </c>
      <c r="R151" s="54">
        <f>ROUND(Spotify!K164*100,0)</f>
        <v>58</v>
      </c>
      <c r="S151" s="54">
        <f>Spotify!N164</f>
        <v>-12.082000000000001</v>
      </c>
      <c r="T151" s="54">
        <f>ROUND(Spotify!T164*100,0)</f>
        <v>31</v>
      </c>
      <c r="U151" s="54">
        <f>ROUND(Spotify!F164/60000,1)</f>
        <v>3.4</v>
      </c>
      <c r="V151" s="54">
        <f>ROUND(Spotify!Q164*100,0)</f>
        <v>89</v>
      </c>
      <c r="W151" s="54">
        <f>Spotify!G164</f>
        <v>48</v>
      </c>
    </row>
    <row r="152" spans="1:23" ht="15" x14ac:dyDescent="0.3">
      <c r="A152" s="87">
        <f t="shared" ref="A152:A167" ca="1" si="11">RAND()</f>
        <v>0.97256579208365712</v>
      </c>
      <c r="B152" s="93" t="s">
        <v>1</v>
      </c>
      <c r="C152" s="94"/>
      <c r="D152" s="95" t="s">
        <v>561</v>
      </c>
      <c r="E152" s="94" t="s">
        <v>714</v>
      </c>
      <c r="F152" s="94"/>
      <c r="G152" s="96">
        <v>1987</v>
      </c>
      <c r="H152" s="94" t="s">
        <v>12</v>
      </c>
      <c r="I152" s="94" t="s">
        <v>29</v>
      </c>
      <c r="J152" s="88" t="s">
        <v>1428</v>
      </c>
      <c r="K152" s="90" t="e">
        <f>CONCATENATE(SUBSTITUTE(Spotify!#REF!,",",";"),";",J152)</f>
        <v>#REF!</v>
      </c>
      <c r="L152" s="86"/>
      <c r="M152" s="54" t="e">
        <f>Spotify!#REF!</f>
        <v>#REF!</v>
      </c>
      <c r="N152" s="92" t="e">
        <f>Spotify!#REF!</f>
        <v>#REF!</v>
      </c>
      <c r="O152" s="92" t="e">
        <f>Spotify!#REF!</f>
        <v>#REF!</v>
      </c>
      <c r="P152" s="54" t="e">
        <f>ROUND(Spotify!#REF!,0)</f>
        <v>#REF!</v>
      </c>
      <c r="Q152" s="54" t="e">
        <f>ROUND(Spotify!#REF!*100,0)</f>
        <v>#REF!</v>
      </c>
      <c r="R152" s="54" t="e">
        <f>ROUND(Spotify!#REF!*100,0)</f>
        <v>#REF!</v>
      </c>
      <c r="S152" s="54" t="e">
        <f>Spotify!#REF!</f>
        <v>#REF!</v>
      </c>
      <c r="T152" s="54" t="e">
        <f>ROUND(Spotify!#REF!*100,0)</f>
        <v>#REF!</v>
      </c>
      <c r="U152" s="54" t="e">
        <f>ROUND(Spotify!#REF!/60000,1)</f>
        <v>#REF!</v>
      </c>
      <c r="V152" s="54" t="e">
        <f>ROUND(Spotify!#REF!*100,0)</f>
        <v>#REF!</v>
      </c>
      <c r="W152" s="54" t="e">
        <f>Spotify!#REF!</f>
        <v>#REF!</v>
      </c>
    </row>
    <row r="153" spans="1:23" ht="15" x14ac:dyDescent="0.3">
      <c r="A153" s="87">
        <f t="shared" ca="1" si="11"/>
        <v>0.46627235545011958</v>
      </c>
      <c r="B153" s="93" t="s">
        <v>1</v>
      </c>
      <c r="C153" s="94"/>
      <c r="D153" s="95" t="s">
        <v>1345</v>
      </c>
      <c r="E153" s="94" t="s">
        <v>104</v>
      </c>
      <c r="F153" s="94"/>
      <c r="G153" s="96">
        <v>1957</v>
      </c>
      <c r="H153" s="94" t="s">
        <v>40</v>
      </c>
      <c r="I153" s="94"/>
      <c r="J153" s="88" t="s">
        <v>1429</v>
      </c>
      <c r="K153" s="90" t="str">
        <f>CONCATENATE(SUBSTITUTE(Spotify!J165,",",";"),";",J153)</f>
        <v>folk;oldies;retro;dance;fast;groovy</v>
      </c>
      <c r="L153" s="86"/>
      <c r="M153" s="54" t="str">
        <f>Spotify!B165</f>
        <v>Leaving on a Jet Plane</v>
      </c>
      <c r="N153" s="92" t="str">
        <f>Spotify!D165</f>
        <v>John Denver</v>
      </c>
      <c r="O153" s="92">
        <f>Spotify!E165</f>
        <v>25490</v>
      </c>
      <c r="P153" s="54">
        <f>ROUND(Spotify!U165,0)</f>
        <v>133</v>
      </c>
      <c r="Q153" s="54">
        <f>ROUND(Spotify!L165*100,0)</f>
        <v>28</v>
      </c>
      <c r="R153" s="54">
        <f>ROUND(Spotify!K165*100,0)</f>
        <v>49</v>
      </c>
      <c r="S153" s="54">
        <f>Spotify!N165</f>
        <v>-12.263</v>
      </c>
      <c r="T153" s="54">
        <f>ROUND(Spotify!T165*100,0)</f>
        <v>47</v>
      </c>
      <c r="U153" s="54">
        <f>ROUND(Spotify!F165/60000,1)</f>
        <v>3.6</v>
      </c>
      <c r="V153" s="54">
        <f>ROUND(Spotify!Q165*100,0)</f>
        <v>68</v>
      </c>
      <c r="W153" s="54">
        <f>Spotify!G165</f>
        <v>51</v>
      </c>
    </row>
    <row r="154" spans="1:23" ht="15" x14ac:dyDescent="0.3">
      <c r="A154" s="87">
        <f t="shared" ca="1" si="11"/>
        <v>0.24025048291218565</v>
      </c>
      <c r="B154" s="93" t="s">
        <v>1</v>
      </c>
      <c r="C154" s="94"/>
      <c r="D154" s="95" t="s">
        <v>262</v>
      </c>
      <c r="E154" s="94" t="s">
        <v>25</v>
      </c>
      <c r="F154" s="94"/>
      <c r="G154" s="96">
        <v>2011</v>
      </c>
      <c r="H154" s="94" t="s">
        <v>13</v>
      </c>
      <c r="I154" s="94"/>
      <c r="J154" s="88" t="s">
        <v>1430</v>
      </c>
      <c r="K154" s="90" t="str">
        <f>CONCATENATE(SUBSTITUTE(Spotify!J166,",",";"),";",J154)</f>
        <v>;alternative;slow;love</v>
      </c>
      <c r="L154" s="86"/>
      <c r="M154" s="54" t="str">
        <f>Spotify!B166</f>
        <v>Lemon Tree</v>
      </c>
      <c r="N154" s="92" t="str">
        <f>Spotify!D166</f>
        <v>Fools Garden</v>
      </c>
      <c r="O154" s="92">
        <f>Spotify!E166</f>
        <v>34700</v>
      </c>
      <c r="P154" s="54">
        <f>ROUND(Spotify!U166,0)</f>
        <v>143</v>
      </c>
      <c r="Q154" s="54">
        <f>ROUND(Spotify!L166*100,0)</f>
        <v>48</v>
      </c>
      <c r="R154" s="54">
        <f>ROUND(Spotify!K166*100,0)</f>
        <v>66</v>
      </c>
      <c r="S154" s="54">
        <f>Spotify!N166</f>
        <v>-8.8339999999999996</v>
      </c>
      <c r="T154" s="54">
        <f>ROUND(Spotify!T166*100,0)</f>
        <v>64</v>
      </c>
      <c r="U154" s="54">
        <f>ROUND(Spotify!F166/60000,1)</f>
        <v>3.2</v>
      </c>
      <c r="V154" s="54">
        <f>ROUND(Spotify!Q166*100,0)</f>
        <v>64</v>
      </c>
      <c r="W154" s="54">
        <f>Spotify!G166</f>
        <v>3</v>
      </c>
    </row>
    <row r="155" spans="1:23" ht="15" x14ac:dyDescent="0.3">
      <c r="A155" s="87">
        <f t="shared" ca="1" si="11"/>
        <v>0.69956898883905283</v>
      </c>
      <c r="B155" s="93" t="s">
        <v>1</v>
      </c>
      <c r="C155" s="94"/>
      <c r="D155" s="95" t="s">
        <v>659</v>
      </c>
      <c r="E155" s="97" t="s">
        <v>660</v>
      </c>
      <c r="F155" s="94"/>
      <c r="G155" s="96">
        <v>1958</v>
      </c>
      <c r="H155" s="94" t="s">
        <v>40</v>
      </c>
      <c r="I155" s="94"/>
      <c r="J155" s="88" t="s">
        <v>1431</v>
      </c>
      <c r="K155" s="90" t="str">
        <f>CONCATENATE(SUBSTITUTE(Spotify!J167,",",";"),";",J155)</f>
        <v>folk pop;dance;fast;oldies;retro;groovy</v>
      </c>
      <c r="L155" s="86"/>
      <c r="M155" s="54" t="str">
        <f>Spotify!B167</f>
        <v>Let Her Go</v>
      </c>
      <c r="N155" s="92" t="str">
        <f>Spotify!D167</f>
        <v>Passenger</v>
      </c>
      <c r="O155" s="92">
        <f>Spotify!E167</f>
        <v>41149</v>
      </c>
      <c r="P155" s="54">
        <f>ROUND(Spotify!U167,0)</f>
        <v>75</v>
      </c>
      <c r="Q155" s="54">
        <f>ROUND(Spotify!L167*100,0)</f>
        <v>55</v>
      </c>
      <c r="R155" s="54">
        <f>ROUND(Spotify!K167*100,0)</f>
        <v>48</v>
      </c>
      <c r="S155" s="54">
        <f>Spotify!N167</f>
        <v>-7.3460000000000001</v>
      </c>
      <c r="T155" s="54">
        <f>ROUND(Spotify!T167*100,0)</f>
        <v>24</v>
      </c>
      <c r="U155" s="54">
        <f>ROUND(Spotify!F167/60000,1)</f>
        <v>4.2</v>
      </c>
      <c r="V155" s="54">
        <f>ROUND(Spotify!Q167*100,0)</f>
        <v>37</v>
      </c>
      <c r="W155" s="54">
        <f>Spotify!G167</f>
        <v>76</v>
      </c>
    </row>
    <row r="156" spans="1:23" ht="15" x14ac:dyDescent="0.3">
      <c r="A156" s="87">
        <f t="shared" ca="1" si="11"/>
        <v>0.84220845313497794</v>
      </c>
      <c r="B156" s="93" t="s">
        <v>1</v>
      </c>
      <c r="C156" s="94" t="s">
        <v>55</v>
      </c>
      <c r="D156" s="95" t="s">
        <v>263</v>
      </c>
      <c r="E156" s="94" t="s">
        <v>264</v>
      </c>
      <c r="F156" s="94"/>
      <c r="G156" s="96">
        <v>1973</v>
      </c>
      <c r="H156" s="94" t="s">
        <v>13</v>
      </c>
      <c r="I156" s="94" t="s">
        <v>49</v>
      </c>
      <c r="J156" s="88" t="s">
        <v>1434</v>
      </c>
      <c r="K156" s="90" t="str">
        <f>CONCATENATE(SUBSTITUTE(Spotify!J168,",",";"),";",J156)</f>
        <v>pop;dance;fast;retro;oldies;alternative;acoustic</v>
      </c>
      <c r="L156" s="86"/>
      <c r="M156" s="54" t="str">
        <f>Spotify!B168</f>
        <v>Levitating</v>
      </c>
      <c r="N156" s="92" t="str">
        <f>Spotify!D168</f>
        <v>Dua Lipa</v>
      </c>
      <c r="O156" s="92">
        <f>Spotify!E168</f>
        <v>43917</v>
      </c>
      <c r="P156" s="54">
        <f>ROUND(Spotify!U168,0)</f>
        <v>103</v>
      </c>
      <c r="Q156" s="54">
        <f>ROUND(Spotify!L168*100,0)</f>
        <v>88</v>
      </c>
      <c r="R156" s="54">
        <f>ROUND(Spotify!K168*100,0)</f>
        <v>70</v>
      </c>
      <c r="S156" s="54">
        <f>Spotify!N168</f>
        <v>-2.278</v>
      </c>
      <c r="T156" s="54">
        <f>ROUND(Spotify!T168*100,0)</f>
        <v>91</v>
      </c>
      <c r="U156" s="54">
        <f>ROUND(Spotify!F168/60000,1)</f>
        <v>3.4</v>
      </c>
      <c r="V156" s="54">
        <f>ROUND(Spotify!Q168*100,0)</f>
        <v>6</v>
      </c>
      <c r="W156" s="54">
        <f>Spotify!G168</f>
        <v>82</v>
      </c>
    </row>
    <row r="157" spans="1:23" s="66" customFormat="1" ht="15" x14ac:dyDescent="0.3">
      <c r="A157" s="87">
        <f t="shared" ca="1" si="11"/>
        <v>0.27627073766821342</v>
      </c>
      <c r="B157" s="93" t="s">
        <v>1</v>
      </c>
      <c r="C157" s="94"/>
      <c r="D157" s="95" t="s">
        <v>265</v>
      </c>
      <c r="E157" s="94" t="s">
        <v>266</v>
      </c>
      <c r="F157" s="94"/>
      <c r="G157" s="96">
        <v>2013</v>
      </c>
      <c r="H157" s="94" t="s">
        <v>13</v>
      </c>
      <c r="I157" s="94"/>
      <c r="J157" s="88" t="s">
        <v>1432</v>
      </c>
      <c r="K157" s="90" t="str">
        <f>CONCATENATE(SUBSTITUTE(Spotify!J169,",",";"),";",J157)</f>
        <v>soft pop;neo soul;dance;love;groovy</v>
      </c>
      <c r="L157" s="86"/>
      <c r="M157" s="54" t="str">
        <f>Spotify!B169</f>
        <v>Like I'm Gonna Lose You (feat. John Legend)</v>
      </c>
      <c r="N157" s="92" t="str">
        <f>Spotify!D169</f>
        <v>Meghan Trainor;John Legend</v>
      </c>
      <c r="O157" s="92">
        <f>Spotify!E169</f>
        <v>42016</v>
      </c>
      <c r="P157" s="54">
        <f>ROUND(Spotify!U169,0)</f>
        <v>108</v>
      </c>
      <c r="Q157" s="54">
        <f>ROUND(Spotify!L169*100,0)</f>
        <v>53</v>
      </c>
      <c r="R157" s="54">
        <f>ROUND(Spotify!K169*100,0)</f>
        <v>63</v>
      </c>
      <c r="S157" s="54">
        <f>Spotify!N169</f>
        <v>-7.2590000000000003</v>
      </c>
      <c r="T157" s="54">
        <f>ROUND(Spotify!T169*100,0)</f>
        <v>42</v>
      </c>
      <c r="U157" s="54">
        <f>ROUND(Spotify!F169/60000,1)</f>
        <v>3.8</v>
      </c>
      <c r="V157" s="54">
        <f>ROUND(Spotify!Q169*100,0)</f>
        <v>40</v>
      </c>
      <c r="W157" s="54">
        <f>Spotify!G169</f>
        <v>74</v>
      </c>
    </row>
    <row r="158" spans="1:23" s="66" customFormat="1" ht="15" x14ac:dyDescent="0.3">
      <c r="A158" s="87"/>
      <c r="B158" s="93"/>
      <c r="C158" s="94"/>
      <c r="D158" s="95" t="s">
        <v>1929</v>
      </c>
      <c r="E158" s="94" t="s">
        <v>1933</v>
      </c>
      <c r="F158" s="94"/>
      <c r="G158" s="96">
        <v>1987</v>
      </c>
      <c r="H158" s="94" t="s">
        <v>13</v>
      </c>
      <c r="I158" s="94"/>
      <c r="J158" s="88"/>
      <c r="K158" s="90" t="str">
        <f>CONCATENATE(SUBSTITUTE(Spotify!J170,",",";"),";",J158)</f>
        <v>blues;blues rock;classic rock;</v>
      </c>
      <c r="L158" s="86"/>
      <c r="M158" s="54" t="str">
        <f>Spotify!B170</f>
        <v>Lonely Stranger - Acoustic; Live at MTV Unplugged, Bray Film Studios, Windsor, England, UK, 1/16/1992; 2013 Remaster</v>
      </c>
      <c r="N158" s="92" t="str">
        <f>Spotify!D170</f>
        <v>Eric Clapton</v>
      </c>
      <c r="O158" s="92">
        <f>Spotify!E170</f>
        <v>33841</v>
      </c>
      <c r="P158" s="54">
        <f>ROUND(Spotify!U170,0)</f>
        <v>75</v>
      </c>
      <c r="Q158" s="54">
        <f>ROUND(Spotify!L170*100,0)</f>
        <v>47</v>
      </c>
      <c r="R158" s="54">
        <f>ROUND(Spotify!K170*100,0)</f>
        <v>74</v>
      </c>
      <c r="S158" s="54">
        <f>Spotify!N170</f>
        <v>-12.629</v>
      </c>
      <c r="T158" s="54">
        <f>ROUND(Spotify!T170*100,0)</f>
        <v>59</v>
      </c>
      <c r="U158" s="54">
        <f>ROUND(Spotify!F170/60000,1)</f>
        <v>5.5</v>
      </c>
      <c r="V158" s="54">
        <f>ROUND(Spotify!Q170*100,0)</f>
        <v>52</v>
      </c>
      <c r="W158" s="54">
        <f>Spotify!G170</f>
        <v>0</v>
      </c>
    </row>
    <row r="159" spans="1:23" s="66" customFormat="1" ht="15" x14ac:dyDescent="0.3">
      <c r="A159" s="87">
        <f t="shared" ca="1" si="11"/>
        <v>0.41699042020505062</v>
      </c>
      <c r="B159" s="93"/>
      <c r="C159" s="94" t="s">
        <v>10</v>
      </c>
      <c r="D159" s="100" t="s">
        <v>267</v>
      </c>
      <c r="E159" s="94" t="s">
        <v>268</v>
      </c>
      <c r="F159" s="94"/>
      <c r="G159" s="96">
        <v>1980</v>
      </c>
      <c r="H159" s="94" t="s">
        <v>59</v>
      </c>
      <c r="I159" s="94"/>
      <c r="J159" s="88" t="s">
        <v>1433</v>
      </c>
      <c r="K159" s="90" t="str">
        <f>CONCATENATE(SUBSTITUTE(Spotify!J171,",",";"),";",J159)</f>
        <v>;jazz;oldies;retro;love</v>
      </c>
      <c r="L159" s="86"/>
      <c r="M159" s="54" t="str">
        <f>Spotify!B171</f>
        <v>Long Goodbyes</v>
      </c>
      <c r="N159" s="92" t="str">
        <f>Spotify!D171</f>
        <v>Kurt Hunter</v>
      </c>
      <c r="O159" s="92">
        <f>Spotify!E171</f>
        <v>39972</v>
      </c>
      <c r="P159" s="54">
        <f>ROUND(Spotify!U171,0)</f>
        <v>100</v>
      </c>
      <c r="Q159" s="54">
        <f>ROUND(Spotify!L171*100,0)</f>
        <v>42</v>
      </c>
      <c r="R159" s="54">
        <f>ROUND(Spotify!K171*100,0)</f>
        <v>69</v>
      </c>
      <c r="S159" s="54">
        <f>Spotify!N171</f>
        <v>-9.6159999999999997</v>
      </c>
      <c r="T159" s="54">
        <f>ROUND(Spotify!T171*100,0)</f>
        <v>64</v>
      </c>
      <c r="U159" s="54">
        <f>ROUND(Spotify!F171/60000,1)</f>
        <v>3.9</v>
      </c>
      <c r="V159" s="54">
        <f>ROUND(Spotify!Q171*100,0)</f>
        <v>59</v>
      </c>
      <c r="W159" s="54">
        <f>Spotify!G171</f>
        <v>4</v>
      </c>
    </row>
    <row r="160" spans="1:23" ht="15" x14ac:dyDescent="0.3">
      <c r="A160" s="87">
        <f t="shared" ca="1" si="11"/>
        <v>0.89912451605683519</v>
      </c>
      <c r="B160" s="93"/>
      <c r="C160" s="94" t="s">
        <v>14</v>
      </c>
      <c r="D160" s="95" t="s">
        <v>1363</v>
      </c>
      <c r="E160" s="94" t="s">
        <v>126</v>
      </c>
      <c r="F160" s="94"/>
      <c r="G160" s="96">
        <v>2010</v>
      </c>
      <c r="H160" s="94" t="s">
        <v>13</v>
      </c>
      <c r="I160" s="94" t="s">
        <v>69</v>
      </c>
      <c r="J160" s="88" t="s">
        <v>1390</v>
      </c>
      <c r="K160" s="90" t="str">
        <f>CONCATENATE(SUBSTITUTE(Spotify!J172,",",";"),";",J160)</f>
        <v>yacht rock;classic rock;soft rock;southern rock;dance;fast;love;groovy</v>
      </c>
      <c r="L160" s="86"/>
      <c r="M160" s="54" t="str">
        <f>Spotify!B172</f>
        <v>Long Train Runnin'</v>
      </c>
      <c r="N160" s="92" t="str">
        <f>Spotify!D172</f>
        <v>The Doobie Brothers</v>
      </c>
      <c r="O160" s="92">
        <f>Spotify!E172</f>
        <v>1973</v>
      </c>
      <c r="P160" s="54">
        <f>ROUND(Spotify!U172,0)</f>
        <v>117</v>
      </c>
      <c r="Q160" s="54">
        <f>ROUND(Spotify!L172*100,0)</f>
        <v>91</v>
      </c>
      <c r="R160" s="54">
        <f>ROUND(Spotify!K172*100,0)</f>
        <v>58</v>
      </c>
      <c r="S160" s="54">
        <f>Spotify!N172</f>
        <v>-7.2750000000000004</v>
      </c>
      <c r="T160" s="54">
        <f>ROUND(Spotify!T172*100,0)</f>
        <v>84</v>
      </c>
      <c r="U160" s="54">
        <f>ROUND(Spotify!F172/60000,1)</f>
        <v>3.5</v>
      </c>
      <c r="V160" s="54">
        <f>ROUND(Spotify!Q172*100,0)</f>
        <v>9</v>
      </c>
      <c r="W160" s="54">
        <f>Spotify!G172</f>
        <v>77</v>
      </c>
    </row>
    <row r="161" spans="1:23" ht="15" x14ac:dyDescent="0.3">
      <c r="A161" s="87">
        <f t="shared" ca="1" si="11"/>
        <v>0.9700168113742802</v>
      </c>
      <c r="B161" s="93" t="s">
        <v>1</v>
      </c>
      <c r="C161" s="94" t="s">
        <v>77</v>
      </c>
      <c r="D161" s="95" t="s">
        <v>269</v>
      </c>
      <c r="E161" s="94" t="s">
        <v>270</v>
      </c>
      <c r="F161" s="94"/>
      <c r="G161" s="96">
        <v>1972</v>
      </c>
      <c r="H161" s="94" t="s">
        <v>63</v>
      </c>
      <c r="I161" s="94"/>
      <c r="J161" s="88" t="s">
        <v>1402</v>
      </c>
      <c r="K161" s="90" t="str">
        <f>CONCATENATE(SUBSTITUTE(Spotify!J173,",",";"),";",J161)</f>
        <v>jangle pop;alternative rock;rock;love;slow;oldies;retro</v>
      </c>
      <c r="L161" s="86"/>
      <c r="M161" s="54" t="str">
        <f>Spotify!B173</f>
        <v>Losing My Religion</v>
      </c>
      <c r="N161" s="92" t="str">
        <f>Spotify!D173</f>
        <v>R.E.M.</v>
      </c>
      <c r="O161" s="92">
        <f>Spotify!E173</f>
        <v>33309</v>
      </c>
      <c r="P161" s="54">
        <f>ROUND(Spotify!U173,0)</f>
        <v>126</v>
      </c>
      <c r="Q161" s="54">
        <f>ROUND(Spotify!L173*100,0)</f>
        <v>86</v>
      </c>
      <c r="R161" s="54">
        <f>ROUND(Spotify!K173*100,0)</f>
        <v>67</v>
      </c>
      <c r="S161" s="54">
        <f>Spotify!N173</f>
        <v>-5.0510000000000002</v>
      </c>
      <c r="T161" s="54">
        <f>ROUND(Spotify!T173*100,0)</f>
        <v>80</v>
      </c>
      <c r="U161" s="54">
        <f>ROUND(Spotify!F173/60000,1)</f>
        <v>4.5</v>
      </c>
      <c r="V161" s="54">
        <f>ROUND(Spotify!Q173*100,0)</f>
        <v>18</v>
      </c>
      <c r="W161" s="54">
        <f>Spotify!G173</f>
        <v>88</v>
      </c>
    </row>
    <row r="162" spans="1:23" ht="15" x14ac:dyDescent="0.3">
      <c r="A162" s="87">
        <f t="shared" ca="1" si="11"/>
        <v>0.51409996548405845</v>
      </c>
      <c r="B162" s="93" t="s">
        <v>1</v>
      </c>
      <c r="C162" s="94" t="s">
        <v>37</v>
      </c>
      <c r="D162" s="95" t="s">
        <v>271</v>
      </c>
      <c r="E162" s="94" t="s">
        <v>272</v>
      </c>
      <c r="F162" s="94"/>
      <c r="G162" s="96">
        <v>2002</v>
      </c>
      <c r="H162" s="94" t="s">
        <v>12</v>
      </c>
      <c r="I162" s="94" t="s">
        <v>13</v>
      </c>
      <c r="J162" s="88" t="s">
        <v>1558</v>
      </c>
      <c r="K162" s="90" t="str">
        <f>CONCATENATE(SUBSTITUTE(Spotify!J175,",",";"),";",J162)</f>
        <v>;dance;groovy;love;acoustic;alternative;sweet</v>
      </c>
      <c r="L162" s="86"/>
      <c r="M162" s="54" t="str">
        <f>Spotify!B175</f>
        <v>Love Story</v>
      </c>
      <c r="N162" s="92" t="str">
        <f>Spotify!D175</f>
        <v>Taylor Swift</v>
      </c>
      <c r="O162" s="92">
        <f>Spotify!E175</f>
        <v>39763</v>
      </c>
      <c r="P162" s="54">
        <f>ROUND(Spotify!U175,0)</f>
        <v>119</v>
      </c>
      <c r="Q162" s="54">
        <f>ROUND(Spotify!L175*100,0)</f>
        <v>74</v>
      </c>
      <c r="R162" s="54">
        <f>ROUND(Spotify!K175*100,0)</f>
        <v>62</v>
      </c>
      <c r="S162" s="54">
        <f>Spotify!N175</f>
        <v>-3.95</v>
      </c>
      <c r="T162" s="54">
        <f>ROUND(Spotify!T175*100,0)</f>
        <v>30</v>
      </c>
      <c r="U162" s="54">
        <f>ROUND(Spotify!F175/60000,1)</f>
        <v>3.9</v>
      </c>
      <c r="V162" s="54">
        <f>ROUND(Spotify!Q175*100,0)</f>
        <v>17</v>
      </c>
      <c r="W162" s="54">
        <f>Spotify!G175</f>
        <v>68</v>
      </c>
    </row>
    <row r="163" spans="1:23" ht="15" x14ac:dyDescent="0.3">
      <c r="A163" s="87">
        <f t="shared" ca="1" si="11"/>
        <v>0.29965362465320255</v>
      </c>
      <c r="B163" s="99"/>
      <c r="C163" s="97" t="s">
        <v>615</v>
      </c>
      <c r="D163" s="89" t="s">
        <v>629</v>
      </c>
      <c r="E163" s="97" t="s">
        <v>630</v>
      </c>
      <c r="F163" s="97"/>
      <c r="G163" s="98">
        <v>1987</v>
      </c>
      <c r="H163" s="97" t="s">
        <v>13</v>
      </c>
      <c r="I163" s="97" t="s">
        <v>81</v>
      </c>
      <c r="J163" s="90" t="s">
        <v>1390</v>
      </c>
      <c r="K163" s="90" t="str">
        <f>CONCATENATE(SUBSTITUTE(Spotify!J176,",",";"),";",J163)</f>
        <v>;dance;fast;love;groovy</v>
      </c>
      <c r="L163" s="86"/>
      <c r="M163" s="54" t="str">
        <f>Spotify!B176</f>
        <v>Love You Like A Love Song</v>
      </c>
      <c r="N163" s="92" t="str">
        <f>Spotify!D176</f>
        <v>Selena Gomez &amp; The Scene</v>
      </c>
      <c r="O163" s="92">
        <f>Spotify!E176</f>
        <v>40544</v>
      </c>
      <c r="P163" s="54">
        <f>ROUND(Spotify!U176,0)</f>
        <v>117</v>
      </c>
      <c r="Q163" s="54">
        <f>ROUND(Spotify!L176*100,0)</f>
        <v>68</v>
      </c>
      <c r="R163" s="54">
        <f>ROUND(Spotify!K176*100,0)</f>
        <v>86</v>
      </c>
      <c r="S163" s="54">
        <f>Spotify!N176</f>
        <v>-3.87</v>
      </c>
      <c r="T163" s="54">
        <f>ROUND(Spotify!T176*100,0)</f>
        <v>92</v>
      </c>
      <c r="U163" s="54">
        <f>ROUND(Spotify!F176/60000,1)</f>
        <v>3.1</v>
      </c>
      <c r="V163" s="54">
        <f>ROUND(Spotify!Q176*100,0)</f>
        <v>8</v>
      </c>
      <c r="W163" s="54">
        <f>Spotify!G176</f>
        <v>86</v>
      </c>
    </row>
    <row r="164" spans="1:23" ht="15" x14ac:dyDescent="0.3">
      <c r="A164" s="87">
        <f t="shared" ca="1" si="11"/>
        <v>0.71694094683927245</v>
      </c>
      <c r="B164" s="99"/>
      <c r="C164" s="97" t="s">
        <v>37</v>
      </c>
      <c r="D164" s="89" t="s">
        <v>273</v>
      </c>
      <c r="E164" s="97" t="s">
        <v>274</v>
      </c>
      <c r="F164" s="97" t="s">
        <v>275</v>
      </c>
      <c r="G164" s="98">
        <v>1950</v>
      </c>
      <c r="H164" s="97" t="s">
        <v>59</v>
      </c>
      <c r="I164" s="97" t="s">
        <v>66</v>
      </c>
      <c r="J164" s="88" t="s">
        <v>1538</v>
      </c>
      <c r="K164" s="90" t="str">
        <f>CONCATENATE(SUBSTITUTE(Spotify!J177,",",";"),";",J164)</f>
        <v>;slow;love;dance;jazz;oldies;retro;acoustic;waltz;sweet</v>
      </c>
      <c r="L164" s="86"/>
      <c r="M164" s="54" t="str">
        <f>Spotify!B177</f>
        <v>Love Yourself</v>
      </c>
      <c r="N164" s="92" t="str">
        <f>Spotify!D177</f>
        <v>Justin Bieber</v>
      </c>
      <c r="O164" s="92">
        <f>Spotify!E177</f>
        <v>42321</v>
      </c>
      <c r="P164" s="54">
        <f>ROUND(Spotify!U177,0)</f>
        <v>100</v>
      </c>
      <c r="Q164" s="54">
        <f>ROUND(Spotify!L177*100,0)</f>
        <v>38</v>
      </c>
      <c r="R164" s="54">
        <f>ROUND(Spotify!K177*100,0)</f>
        <v>61</v>
      </c>
      <c r="S164" s="54">
        <f>Spotify!N177</f>
        <v>-9.8279999999999994</v>
      </c>
      <c r="T164" s="54">
        <f>ROUND(Spotify!T177*100,0)</f>
        <v>52</v>
      </c>
      <c r="U164" s="54">
        <f>ROUND(Spotify!F177/60000,1)</f>
        <v>3.9</v>
      </c>
      <c r="V164" s="54">
        <f>ROUND(Spotify!Q177*100,0)</f>
        <v>84</v>
      </c>
      <c r="W164" s="54">
        <f>Spotify!G177</f>
        <v>92</v>
      </c>
    </row>
    <row r="165" spans="1:23" ht="15" x14ac:dyDescent="0.3">
      <c r="A165" s="87">
        <f t="shared" ca="1" si="11"/>
        <v>0.15007872604810302</v>
      </c>
      <c r="B165" s="93" t="s">
        <v>1</v>
      </c>
      <c r="C165" s="94"/>
      <c r="D165" s="95" t="s">
        <v>278</v>
      </c>
      <c r="E165" s="94" t="s">
        <v>53</v>
      </c>
      <c r="F165" s="94"/>
      <c r="G165" s="96">
        <v>1966</v>
      </c>
      <c r="H165" s="94" t="s">
        <v>63</v>
      </c>
      <c r="I165" s="94"/>
      <c r="J165" s="88" t="s">
        <v>1435</v>
      </c>
      <c r="K165" s="90" t="str">
        <f>CONCATENATE(SUBSTITUTE(Spotify!J178,",",";"),";",J165)</f>
        <v>soft pop;acoustic pop;slow;oldies;retro;love;acoustic</v>
      </c>
      <c r="L165" s="86"/>
      <c r="M165" s="54" t="str">
        <f>Spotify!B178</f>
        <v>Lucky</v>
      </c>
      <c r="N165" s="92" t="str">
        <f>Spotify!D178</f>
        <v>Jason Mraz;Colbie Caillat</v>
      </c>
      <c r="O165" s="92">
        <f>Spotify!E178</f>
        <v>39580</v>
      </c>
      <c r="P165" s="54">
        <f>ROUND(Spotify!U178,0)</f>
        <v>130</v>
      </c>
      <c r="Q165" s="54">
        <f>ROUND(Spotify!L178*100,0)</f>
        <v>41</v>
      </c>
      <c r="R165" s="54">
        <f>ROUND(Spotify!K178*100,0)</f>
        <v>63</v>
      </c>
      <c r="S165" s="54">
        <f>Spotify!N178</f>
        <v>-8.6999999999999993</v>
      </c>
      <c r="T165" s="54">
        <f>ROUND(Spotify!T178*100,0)</f>
        <v>67</v>
      </c>
      <c r="U165" s="54">
        <f>ROUND(Spotify!F178/60000,1)</f>
        <v>3.2</v>
      </c>
      <c r="V165" s="54">
        <f>ROUND(Spotify!Q178*100,0)</f>
        <v>29</v>
      </c>
      <c r="W165" s="54">
        <f>Spotify!G178</f>
        <v>69</v>
      </c>
    </row>
    <row r="166" spans="1:23" ht="15" x14ac:dyDescent="0.3">
      <c r="A166" s="87">
        <f t="shared" ca="1" si="11"/>
        <v>0.92863155589898116</v>
      </c>
      <c r="B166" s="93"/>
      <c r="C166" s="94"/>
      <c r="D166" s="95" t="s">
        <v>279</v>
      </c>
      <c r="E166" s="94" t="s">
        <v>280</v>
      </c>
      <c r="F166" s="94"/>
      <c r="G166" s="96">
        <v>1995</v>
      </c>
      <c r="H166" s="94" t="s">
        <v>13</v>
      </c>
      <c r="I166" s="94"/>
      <c r="J166" s="88" t="s">
        <v>1398</v>
      </c>
      <c r="K166" s="90" t="str">
        <f>CONCATENATE(SUBSTITUTE(Spotify!J179,",",";"),";",J166)</f>
        <v>;alternative;acoustic</v>
      </c>
      <c r="L166" s="86"/>
      <c r="M166" s="54" t="str">
        <f>Spotify!B179</f>
        <v>Lucky Lips</v>
      </c>
      <c r="N166" s="92" t="str">
        <f>Spotify!D179</f>
        <v>Cliff Richard &amp; The Shadows</v>
      </c>
      <c r="O166" s="92">
        <f>Spotify!E179</f>
        <v>32671</v>
      </c>
      <c r="P166" s="54">
        <f>ROUND(Spotify!U179,0)</f>
        <v>145</v>
      </c>
      <c r="Q166" s="54">
        <f>ROUND(Spotify!L179*100,0)</f>
        <v>48</v>
      </c>
      <c r="R166" s="54">
        <f>ROUND(Spotify!K179*100,0)</f>
        <v>69</v>
      </c>
      <c r="S166" s="54">
        <f>Spotify!N179</f>
        <v>-12.25</v>
      </c>
      <c r="T166" s="54">
        <f>ROUND(Spotify!T179*100,0)</f>
        <v>90</v>
      </c>
      <c r="U166" s="54">
        <f>ROUND(Spotify!F179/60000,1)</f>
        <v>2.7</v>
      </c>
      <c r="V166" s="54">
        <f>ROUND(Spotify!Q179*100,0)</f>
        <v>79</v>
      </c>
      <c r="W166" s="54">
        <f>Spotify!G179</f>
        <v>39</v>
      </c>
    </row>
    <row r="167" spans="1:23" ht="15" x14ac:dyDescent="0.3">
      <c r="A167" s="87">
        <f t="shared" ca="1" si="11"/>
        <v>0.29644271029171387</v>
      </c>
      <c r="B167" s="93"/>
      <c r="C167" s="94"/>
      <c r="D167" s="95" t="s">
        <v>281</v>
      </c>
      <c r="E167" s="94" t="s">
        <v>282</v>
      </c>
      <c r="F167" s="94"/>
      <c r="G167" s="96">
        <v>2012</v>
      </c>
      <c r="H167" s="94" t="s">
        <v>12</v>
      </c>
      <c r="I167" s="94" t="s">
        <v>283</v>
      </c>
      <c r="J167" s="88" t="s">
        <v>1436</v>
      </c>
      <c r="K167" s="90" t="str">
        <f>CONCATENATE(SUBSTITUTE(Spotify!J180,",",";"),";",J167)</f>
        <v>soft pop;alternative;acoustic;love;groovy</v>
      </c>
      <c r="L167" s="86"/>
      <c r="M167" s="54" t="str">
        <f>Spotify!B180</f>
        <v>Make You Feel My Love</v>
      </c>
      <c r="N167" s="92" t="str">
        <f>Spotify!D180</f>
        <v>Adele</v>
      </c>
      <c r="O167" s="92">
        <f>Spotify!E180</f>
        <v>39475</v>
      </c>
      <c r="P167" s="54">
        <f>ROUND(Spotify!U180,0)</f>
        <v>65</v>
      </c>
      <c r="Q167" s="54">
        <f>ROUND(Spotify!L180*100,0)</f>
        <v>17</v>
      </c>
      <c r="R167" s="54">
        <f>ROUND(Spotify!K180*100,0)</f>
        <v>32</v>
      </c>
      <c r="S167" s="54">
        <f>Spotify!N180</f>
        <v>-10.635999999999999</v>
      </c>
      <c r="T167" s="54">
        <f>ROUND(Spotify!T180*100,0)</f>
        <v>10</v>
      </c>
      <c r="U167" s="54">
        <f>ROUND(Spotify!F180/60000,1)</f>
        <v>3.5</v>
      </c>
      <c r="V167" s="54">
        <f>ROUND(Spotify!Q180*100,0)</f>
        <v>91</v>
      </c>
      <c r="W167" s="54">
        <f>Spotify!G180</f>
        <v>72</v>
      </c>
    </row>
    <row r="168" spans="1:23" ht="15" x14ac:dyDescent="0.3">
      <c r="A168" s="87"/>
      <c r="B168" s="93"/>
      <c r="C168" s="94"/>
      <c r="D168" s="95" t="s">
        <v>1722</v>
      </c>
      <c r="E168" s="94" t="s">
        <v>1591</v>
      </c>
      <c r="F168" s="94"/>
      <c r="G168" s="96">
        <v>2020</v>
      </c>
      <c r="H168" s="94" t="s">
        <v>13</v>
      </c>
      <c r="I168" s="94"/>
      <c r="J168" s="88"/>
      <c r="K168" s="90" t="str">
        <f>CONCATENATE(SUBSTITUTE(Spotify!J181,",",";"),";",J168)</f>
        <v>;</v>
      </c>
      <c r="L168" s="86"/>
      <c r="M168" s="54" t="str">
        <f>Spotify!B181</f>
        <v>Mamma Mia</v>
      </c>
      <c r="N168" s="92" t="str">
        <f>Spotify!D181</f>
        <v>ABBA</v>
      </c>
      <c r="O168" s="92">
        <f>Spotify!E181</f>
        <v>1975</v>
      </c>
      <c r="P168" s="54">
        <f>ROUND(Spotify!U181,0)</f>
        <v>138</v>
      </c>
      <c r="Q168" s="54">
        <f>ROUND(Spotify!L181*100,0)</f>
        <v>75</v>
      </c>
      <c r="R168" s="54">
        <f>ROUND(Spotify!K181*100,0)</f>
        <v>75</v>
      </c>
      <c r="S168" s="54">
        <f>Spotify!N181</f>
        <v>-7.0110000000000001</v>
      </c>
      <c r="T168" s="54">
        <f>ROUND(Spotify!T181*100,0)</f>
        <v>83</v>
      </c>
      <c r="U168" s="54">
        <f>ROUND(Spotify!F181/60000,1)</f>
        <v>3.6</v>
      </c>
      <c r="V168" s="54">
        <f>ROUND(Spotify!Q181*100,0)</f>
        <v>30</v>
      </c>
      <c r="W168" s="54">
        <f>Spotify!G181</f>
        <v>81</v>
      </c>
    </row>
    <row r="169" spans="1:23" ht="15" x14ac:dyDescent="0.3">
      <c r="A169" s="87">
        <f t="shared" ref="A169:A174" ca="1" si="12">RAND()</f>
        <v>0.35105534354374779</v>
      </c>
      <c r="B169" s="93"/>
      <c r="C169" s="94"/>
      <c r="D169" s="95" t="s">
        <v>284</v>
      </c>
      <c r="E169" s="94" t="s">
        <v>84</v>
      </c>
      <c r="F169" s="94"/>
      <c r="G169" s="96">
        <v>2015</v>
      </c>
      <c r="H169" s="94" t="s">
        <v>76</v>
      </c>
      <c r="I169" s="94"/>
      <c r="J169" s="88" t="s">
        <v>1524</v>
      </c>
      <c r="K169" s="90" t="str">
        <f>CONCATENATE(SUBSTITUTE(Spotify!J182,",",";"),";",J169)</f>
        <v>;love;slow;groovy;waltz</v>
      </c>
      <c r="L169" s="86"/>
      <c r="M169" s="54" t="str">
        <f>Spotify!B182</f>
        <v>Maria Maria (feat. The Product G&amp;B)</v>
      </c>
      <c r="N169" s="92" t="str">
        <f>Spotify!D182</f>
        <v>Santana;The Product G&amp;B</v>
      </c>
      <c r="O169" s="92">
        <f>Spotify!E182</f>
        <v>1999</v>
      </c>
      <c r="P169" s="54">
        <f>ROUND(Spotify!U182,0)</f>
        <v>98</v>
      </c>
      <c r="Q169" s="54">
        <f>ROUND(Spotify!L182*100,0)</f>
        <v>60</v>
      </c>
      <c r="R169" s="54">
        <f>ROUND(Spotify!K182*100,0)</f>
        <v>78</v>
      </c>
      <c r="S169" s="54">
        <f>Spotify!N182</f>
        <v>-5.931</v>
      </c>
      <c r="T169" s="54">
        <f>ROUND(Spotify!T182*100,0)</f>
        <v>68</v>
      </c>
      <c r="U169" s="54">
        <f>ROUND(Spotify!F182/60000,1)</f>
        <v>4.4000000000000004</v>
      </c>
      <c r="V169" s="54">
        <f>ROUND(Spotify!Q182*100,0)</f>
        <v>4</v>
      </c>
      <c r="W169" s="54">
        <f>Spotify!G182</f>
        <v>77</v>
      </c>
    </row>
    <row r="170" spans="1:23" ht="15" x14ac:dyDescent="0.3">
      <c r="A170" s="87">
        <f t="shared" ca="1" si="12"/>
        <v>0.19198586556186492</v>
      </c>
      <c r="B170" s="93" t="s">
        <v>1</v>
      </c>
      <c r="C170" s="94"/>
      <c r="D170" s="95" t="s">
        <v>285</v>
      </c>
      <c r="E170" s="94" t="s">
        <v>64</v>
      </c>
      <c r="F170" s="94"/>
      <c r="G170" s="96">
        <v>1992</v>
      </c>
      <c r="H170" s="94" t="s">
        <v>12</v>
      </c>
      <c r="I170" s="94" t="s">
        <v>66</v>
      </c>
      <c r="J170" s="88" t="s">
        <v>1389</v>
      </c>
      <c r="K170" s="90" t="str">
        <f>CONCATENATE(SUBSTITUTE(Spotify!J185,",",";"),";",J170)</f>
        <v>classic rock;psychedelic rock;alternative;groovy</v>
      </c>
      <c r="L170" s="86"/>
      <c r="M170" s="54" t="str">
        <f>Spotify!B185</f>
        <v>Michelle - Remastered 2009</v>
      </c>
      <c r="N170" s="92" t="str">
        <f>Spotify!D185</f>
        <v>The Beatles</v>
      </c>
      <c r="O170" s="92">
        <f>Spotify!E185</f>
        <v>24079</v>
      </c>
      <c r="P170" s="54">
        <f>ROUND(Spotify!U185,0)</f>
        <v>117</v>
      </c>
      <c r="Q170" s="54">
        <f>ROUND(Spotify!L185*100,0)</f>
        <v>29</v>
      </c>
      <c r="R170" s="54">
        <f>ROUND(Spotify!K185*100,0)</f>
        <v>58</v>
      </c>
      <c r="S170" s="54">
        <f>Spotify!N185</f>
        <v>-12.500999999999999</v>
      </c>
      <c r="T170" s="54">
        <f>ROUND(Spotify!T185*100,0)</f>
        <v>67</v>
      </c>
      <c r="U170" s="54">
        <f>ROUND(Spotify!F185/60000,1)</f>
        <v>2.7</v>
      </c>
      <c r="V170" s="54">
        <f>ROUND(Spotify!Q185*100,0)</f>
        <v>65</v>
      </c>
      <c r="W170" s="54">
        <f>Spotify!G185</f>
        <v>69</v>
      </c>
    </row>
    <row r="171" spans="1:23" ht="15" x14ac:dyDescent="0.3">
      <c r="A171" s="87">
        <f t="shared" ca="1" si="12"/>
        <v>0.32177356063433971</v>
      </c>
      <c r="B171" s="93" t="s">
        <v>1</v>
      </c>
      <c r="C171" s="94" t="s">
        <v>37</v>
      </c>
      <c r="D171" s="95" t="s">
        <v>286</v>
      </c>
      <c r="E171" s="94" t="s">
        <v>287</v>
      </c>
      <c r="F171" s="94"/>
      <c r="G171" s="96">
        <v>2009</v>
      </c>
      <c r="H171" s="94" t="s">
        <v>59</v>
      </c>
      <c r="I171" s="94" t="s">
        <v>288</v>
      </c>
      <c r="J171" s="88" t="s">
        <v>1437</v>
      </c>
      <c r="K171" s="90" t="str">
        <f>CONCATENATE(SUBSTITUTE(Spotify!J186,",",";"),";",J171)</f>
        <v>;love;slow;groovy;alternative</v>
      </c>
      <c r="L171" s="86"/>
      <c r="M171" s="54" t="str">
        <f>Spotify!B186</f>
        <v>Money, Money, Money</v>
      </c>
      <c r="N171" s="92" t="str">
        <f>Spotify!D186</f>
        <v>ABBA</v>
      </c>
      <c r="O171" s="92">
        <f>Spotify!E186</f>
        <v>1976</v>
      </c>
      <c r="P171" s="54">
        <f>ROUND(Spotify!U186,0)</f>
        <v>121</v>
      </c>
      <c r="Q171" s="54">
        <f>ROUND(Spotify!L186*100,0)</f>
        <v>70</v>
      </c>
      <c r="R171" s="54">
        <f>ROUND(Spotify!K186*100,0)</f>
        <v>79</v>
      </c>
      <c r="S171" s="54">
        <f>Spotify!N186</f>
        <v>-6.8730000000000002</v>
      </c>
      <c r="T171" s="54">
        <f>ROUND(Spotify!T186*100,0)</f>
        <v>65</v>
      </c>
      <c r="U171" s="54">
        <f>ROUND(Spotify!F186/60000,1)</f>
        <v>3.1</v>
      </c>
      <c r="V171" s="54">
        <f>ROUND(Spotify!Q186*100,0)</f>
        <v>54</v>
      </c>
      <c r="W171" s="54">
        <f>Spotify!G186</f>
        <v>72</v>
      </c>
    </row>
    <row r="172" spans="1:23" ht="15" x14ac:dyDescent="0.3">
      <c r="A172" s="87">
        <f t="shared" ca="1" si="12"/>
        <v>0.38301000502277716</v>
      </c>
      <c r="B172" s="93" t="s">
        <v>1</v>
      </c>
      <c r="C172" s="94" t="s">
        <v>17</v>
      </c>
      <c r="D172" s="95" t="s">
        <v>289</v>
      </c>
      <c r="E172" s="94" t="s">
        <v>290</v>
      </c>
      <c r="F172" s="94"/>
      <c r="G172" s="96">
        <v>1973</v>
      </c>
      <c r="H172" s="94" t="s">
        <v>12</v>
      </c>
      <c r="I172" s="94" t="s">
        <v>200</v>
      </c>
      <c r="J172" s="88" t="s">
        <v>1438</v>
      </c>
      <c r="K172" s="90" t="str">
        <f>CONCATENATE(SUBSTITUTE(Spotify!J187,",",";"),";",J172)</f>
        <v>;dance;fast;groovy;love;oldies;retro</v>
      </c>
      <c r="L172" s="86"/>
      <c r="M172" s="54" t="str">
        <f>Spotify!B187</f>
        <v>Moon River (From Breakfast at Tiffany's) [Remastered]</v>
      </c>
      <c r="N172" s="92" t="str">
        <f>Spotify!D187</f>
        <v>Audrey Hepburn</v>
      </c>
      <c r="O172" s="92">
        <f>Spotify!E187</f>
        <v>41831</v>
      </c>
      <c r="P172" s="54">
        <f>ROUND(Spotify!U187,0)</f>
        <v>86</v>
      </c>
      <c r="Q172" s="54">
        <f>ROUND(Spotify!L187*100,0)</f>
        <v>3</v>
      </c>
      <c r="R172" s="54">
        <f>ROUND(Spotify!K187*100,0)</f>
        <v>38</v>
      </c>
      <c r="S172" s="54">
        <f>Spotify!N187</f>
        <v>-19.128</v>
      </c>
      <c r="T172" s="54">
        <f>ROUND(Spotify!T187*100,0)</f>
        <v>17</v>
      </c>
      <c r="U172" s="54">
        <f>ROUND(Spotify!F187/60000,1)</f>
        <v>2.1</v>
      </c>
      <c r="V172" s="54">
        <f>ROUND(Spotify!Q187*100,0)</f>
        <v>94</v>
      </c>
      <c r="W172" s="54">
        <f>Spotify!G187</f>
        <v>60</v>
      </c>
    </row>
    <row r="173" spans="1:23" ht="15" x14ac:dyDescent="0.3">
      <c r="A173" s="87">
        <f t="shared" ca="1" si="12"/>
        <v>0.44781543596785012</v>
      </c>
      <c r="B173" s="93"/>
      <c r="C173" s="94" t="s">
        <v>77</v>
      </c>
      <c r="D173" s="95" t="s">
        <v>291</v>
      </c>
      <c r="E173" s="94" t="s">
        <v>714</v>
      </c>
      <c r="F173" s="94"/>
      <c r="G173" s="96">
        <v>1991</v>
      </c>
      <c r="H173" s="94" t="s">
        <v>12</v>
      </c>
      <c r="I173" s="94"/>
      <c r="J173" s="88" t="s">
        <v>1389</v>
      </c>
      <c r="K173" s="90" t="str">
        <f>CONCATENATE(SUBSTITUTE(Spotify!J188,",",";"),";",J173)</f>
        <v>;alternative;groovy</v>
      </c>
      <c r="L173" s="86"/>
      <c r="M173" s="54" t="str">
        <f>Spotify!B188</f>
        <v>More Than a Friend - 2002 Remaster</v>
      </c>
      <c r="N173" s="92" t="str">
        <f>Spotify!D188</f>
        <v>Michael Learns To Rock</v>
      </c>
      <c r="O173" s="92">
        <f>Spotify!E188</f>
        <v>2002</v>
      </c>
      <c r="P173" s="54">
        <f>ROUND(Spotify!U188,0)</f>
        <v>93</v>
      </c>
      <c r="Q173" s="54">
        <f>ROUND(Spotify!L188*100,0)</f>
        <v>67</v>
      </c>
      <c r="R173" s="54">
        <f>ROUND(Spotify!K188*100,0)</f>
        <v>73</v>
      </c>
      <c r="S173" s="54">
        <f>Spotify!N188</f>
        <v>-5.7409999999999997</v>
      </c>
      <c r="T173" s="54">
        <f>ROUND(Spotify!T188*100,0)</f>
        <v>84</v>
      </c>
      <c r="U173" s="54">
        <f>ROUND(Spotify!F188/60000,1)</f>
        <v>3.7</v>
      </c>
      <c r="V173" s="54">
        <f>ROUND(Spotify!Q188*100,0)</f>
        <v>27</v>
      </c>
      <c r="W173" s="54">
        <f>Spotify!G188</f>
        <v>24</v>
      </c>
    </row>
    <row r="174" spans="1:23" ht="15" x14ac:dyDescent="0.3">
      <c r="A174" s="87">
        <f t="shared" ca="1" si="12"/>
        <v>0.6782821353527535</v>
      </c>
      <c r="B174" s="93" t="s">
        <v>1</v>
      </c>
      <c r="C174" s="94" t="s">
        <v>105</v>
      </c>
      <c r="D174" s="100" t="s">
        <v>553</v>
      </c>
      <c r="E174" s="94" t="s">
        <v>554</v>
      </c>
      <c r="F174" s="94"/>
      <c r="G174" s="96">
        <v>2015</v>
      </c>
      <c r="H174" s="94" t="s">
        <v>12</v>
      </c>
      <c r="I174" s="94" t="s">
        <v>43</v>
      </c>
      <c r="J174" s="88" t="s">
        <v>1540</v>
      </c>
      <c r="K174" s="90" t="e">
        <f>CONCATENATE(SUBSTITUTE(Spotify!#REF!,",",";"),";",J174)</f>
        <v>#REF!</v>
      </c>
      <c r="L174" s="86"/>
      <c r="M174" s="54" t="e">
        <f>Spotify!#REF!</f>
        <v>#REF!</v>
      </c>
      <c r="N174" s="92" t="e">
        <f>Spotify!#REF!</f>
        <v>#REF!</v>
      </c>
      <c r="O174" s="92" t="e">
        <f>Spotify!#REF!</f>
        <v>#REF!</v>
      </c>
      <c r="P174" s="54" t="e">
        <f>ROUND(Spotify!#REF!,0)</f>
        <v>#REF!</v>
      </c>
      <c r="Q174" s="54" t="e">
        <f>ROUND(Spotify!#REF!*100,0)</f>
        <v>#REF!</v>
      </c>
      <c r="R174" s="54" t="e">
        <f>ROUND(Spotify!#REF!*100,0)</f>
        <v>#REF!</v>
      </c>
      <c r="S174" s="54" t="e">
        <f>Spotify!#REF!</f>
        <v>#REF!</v>
      </c>
      <c r="T174" s="54" t="e">
        <f>ROUND(Spotify!#REF!*100,0)</f>
        <v>#REF!</v>
      </c>
      <c r="U174" s="54" t="e">
        <f>ROUND(Spotify!#REF!/60000,1)</f>
        <v>#REF!</v>
      </c>
      <c r="V174" s="54" t="e">
        <f>ROUND(Spotify!#REF!*100,0)</f>
        <v>#REF!</v>
      </c>
      <c r="W174" s="54" t="e">
        <f>Spotify!#REF!</f>
        <v>#REF!</v>
      </c>
    </row>
    <row r="175" spans="1:23" ht="15" x14ac:dyDescent="0.3">
      <c r="A175" s="87"/>
      <c r="B175" s="93"/>
      <c r="C175" s="94" t="s">
        <v>37</v>
      </c>
      <c r="D175" s="100" t="s">
        <v>1623</v>
      </c>
      <c r="E175" s="94" t="s">
        <v>1624</v>
      </c>
      <c r="F175" s="94"/>
      <c r="G175" s="96">
        <v>2008</v>
      </c>
      <c r="H175" s="94" t="s">
        <v>13</v>
      </c>
      <c r="I175" s="94" t="s">
        <v>49</v>
      </c>
      <c r="J175" s="88" t="s">
        <v>1625</v>
      </c>
      <c r="K175" s="90" t="str">
        <f>CONCATENATE(SUBSTITUTE(Spotify!J189,",",";"),";",J175)</f>
        <v>glam metal;love;dance;acoustic</v>
      </c>
      <c r="L175" s="86"/>
      <c r="M175" s="54" t="str">
        <f>Spotify!B189</f>
        <v>More Than Words</v>
      </c>
      <c r="N175" s="92" t="str">
        <f>Spotify!D189</f>
        <v>Extreme</v>
      </c>
      <c r="O175" s="92">
        <f>Spotify!E189</f>
        <v>32874</v>
      </c>
      <c r="P175" s="54">
        <f>ROUND(Spotify!U189,0)</f>
        <v>92</v>
      </c>
      <c r="Q175" s="54">
        <f>ROUND(Spotify!L189*100,0)</f>
        <v>13</v>
      </c>
      <c r="R175" s="54">
        <f>ROUND(Spotify!K189*100,0)</f>
        <v>63</v>
      </c>
      <c r="S175" s="54">
        <f>Spotify!N189</f>
        <v>-14.898</v>
      </c>
      <c r="T175" s="54">
        <f>ROUND(Spotify!T189*100,0)</f>
        <v>24</v>
      </c>
      <c r="U175" s="54">
        <f>ROUND(Spotify!F189/60000,1)</f>
        <v>5.6</v>
      </c>
      <c r="V175" s="54">
        <f>ROUND(Spotify!Q189*100,0)</f>
        <v>47</v>
      </c>
      <c r="W175" s="54">
        <f>Spotify!G189</f>
        <v>80</v>
      </c>
    </row>
    <row r="176" spans="1:23" ht="15" x14ac:dyDescent="0.3">
      <c r="A176" s="87">
        <f t="shared" ref="A176:A189" ca="1" si="13">RAND()</f>
        <v>0.6212219582737426</v>
      </c>
      <c r="B176" s="93" t="s">
        <v>1</v>
      </c>
      <c r="C176" s="94"/>
      <c r="D176" s="95" t="s">
        <v>656</v>
      </c>
      <c r="E176" s="94" t="s">
        <v>657</v>
      </c>
      <c r="F176" s="94"/>
      <c r="G176" s="96">
        <v>2011</v>
      </c>
      <c r="H176" s="94" t="s">
        <v>13</v>
      </c>
      <c r="I176" s="94" t="s">
        <v>69</v>
      </c>
      <c r="J176" s="88" t="s">
        <v>1383</v>
      </c>
      <c r="K176" s="90" t="str">
        <f>CONCATENATE(SUBSTITUTE(Spotify!J190,",",";"),";",J176)</f>
        <v>pop;love;dance;fast</v>
      </c>
      <c r="L176" s="86"/>
      <c r="M176" s="54" t="str">
        <f>Spotify!B190</f>
        <v>Moves Like Jagger - Studio Recording From "The Voice" Performance</v>
      </c>
      <c r="N176" s="92" t="str">
        <f>Spotify!D190</f>
        <v>Maroon 5;Christina Aguilera</v>
      </c>
      <c r="O176" s="92">
        <f>Spotify!E190</f>
        <v>2010</v>
      </c>
      <c r="P176" s="54">
        <f>ROUND(Spotify!U190,0)</f>
        <v>128</v>
      </c>
      <c r="Q176" s="54">
        <f>ROUND(Spotify!L190*100,0)</f>
        <v>76</v>
      </c>
      <c r="R176" s="54">
        <f>ROUND(Spotify!K190*100,0)</f>
        <v>72</v>
      </c>
      <c r="S176" s="54">
        <f>Spotify!N190</f>
        <v>-4.4770000000000003</v>
      </c>
      <c r="T176" s="54">
        <f>ROUND(Spotify!T190*100,0)</f>
        <v>62</v>
      </c>
      <c r="U176" s="54">
        <f>ROUND(Spotify!F190/60000,1)</f>
        <v>3.4</v>
      </c>
      <c r="V176" s="54">
        <f>ROUND(Spotify!Q190*100,0)</f>
        <v>1</v>
      </c>
      <c r="W176" s="54">
        <f>Spotify!G190</f>
        <v>77</v>
      </c>
    </row>
    <row r="177" spans="1:23" ht="15" x14ac:dyDescent="0.3">
      <c r="A177" s="87">
        <f t="shared" ca="1" si="13"/>
        <v>0.30319770110046584</v>
      </c>
      <c r="B177" s="93" t="s">
        <v>1</v>
      </c>
      <c r="C177" s="94" t="s">
        <v>93</v>
      </c>
      <c r="D177" s="95" t="s">
        <v>293</v>
      </c>
      <c r="E177" s="94" t="s">
        <v>294</v>
      </c>
      <c r="F177" s="94"/>
      <c r="G177" s="96">
        <v>2015</v>
      </c>
      <c r="H177" s="94" t="s">
        <v>13</v>
      </c>
      <c r="I177" s="94"/>
      <c r="J177" s="88" t="s">
        <v>1450</v>
      </c>
      <c r="K177" s="90" t="str">
        <f>CONCATENATE(SUBSTITUTE(Spotify!J191,",",";"),";",J177)</f>
        <v>art rock;soft rock;acoustic;alternative</v>
      </c>
      <c r="L177" s="86"/>
      <c r="M177" s="54" t="str">
        <f>Spotify!B191</f>
        <v>Mr. Blue Sky</v>
      </c>
      <c r="N177" s="92" t="str">
        <f>Spotify!D191</f>
        <v>Electric Light Orchestra</v>
      </c>
      <c r="O177" s="92">
        <f>Spotify!E191</f>
        <v>1977</v>
      </c>
      <c r="P177" s="54">
        <f>ROUND(Spotify!U191,0)</f>
        <v>178</v>
      </c>
      <c r="Q177" s="54">
        <f>ROUND(Spotify!L191*100,0)</f>
        <v>34</v>
      </c>
      <c r="R177" s="54">
        <f>ROUND(Spotify!K191*100,0)</f>
        <v>39</v>
      </c>
      <c r="S177" s="54">
        <f>Spotify!N191</f>
        <v>-10.054</v>
      </c>
      <c r="T177" s="54">
        <f>ROUND(Spotify!T191*100,0)</f>
        <v>48</v>
      </c>
      <c r="U177" s="54">
        <f>ROUND(Spotify!F191/60000,1)</f>
        <v>5.0999999999999996</v>
      </c>
      <c r="V177" s="54">
        <f>ROUND(Spotify!Q191*100,0)</f>
        <v>65</v>
      </c>
      <c r="W177" s="54">
        <f>Spotify!G191</f>
        <v>83</v>
      </c>
    </row>
    <row r="178" spans="1:23" ht="15" x14ac:dyDescent="0.3">
      <c r="A178" s="87">
        <f t="shared" ca="1" si="13"/>
        <v>0.93133760217881878</v>
      </c>
      <c r="B178" s="93"/>
      <c r="C178" s="94"/>
      <c r="D178" s="95" t="s">
        <v>295</v>
      </c>
      <c r="E178" s="94" t="s">
        <v>107</v>
      </c>
      <c r="F178" s="94"/>
      <c r="G178" s="96">
        <v>2009</v>
      </c>
      <c r="H178" s="94" t="s">
        <v>13</v>
      </c>
      <c r="I178" s="94"/>
      <c r="J178" s="88" t="s">
        <v>1559</v>
      </c>
      <c r="K178" s="90" t="str">
        <f>CONCATENATE(SUBSTITUTE(Spotify!J193,",",";"),";",J178)</f>
        <v>;alternative;love;acoustic;groovy;sweet</v>
      </c>
      <c r="L178" s="86"/>
      <c r="M178" s="54" t="str">
        <f>Spotify!B193</f>
        <v>My Love</v>
      </c>
      <c r="N178" s="92" t="str">
        <f>Spotify!D193</f>
        <v>Westlife</v>
      </c>
      <c r="O178" s="92">
        <f>Spotify!E193</f>
        <v>2000</v>
      </c>
      <c r="P178" s="54">
        <f>ROUND(Spotify!U193,0)</f>
        <v>144</v>
      </c>
      <c r="Q178" s="54">
        <f>ROUND(Spotify!L193*100,0)</f>
        <v>59</v>
      </c>
      <c r="R178" s="54">
        <f>ROUND(Spotify!K193*100,0)</f>
        <v>49</v>
      </c>
      <c r="S178" s="54">
        <f>Spotify!N193</f>
        <v>-5.9749999999999996</v>
      </c>
      <c r="T178" s="54">
        <f>ROUND(Spotify!T193*100,0)</f>
        <v>33</v>
      </c>
      <c r="U178" s="54">
        <f>ROUND(Spotify!F193/60000,1)</f>
        <v>3.9</v>
      </c>
      <c r="V178" s="54">
        <f>ROUND(Spotify!Q193*100,0)</f>
        <v>10</v>
      </c>
      <c r="W178" s="54">
        <f>Spotify!G193</f>
        <v>74</v>
      </c>
    </row>
    <row r="179" spans="1:23" ht="15" x14ac:dyDescent="0.3">
      <c r="A179" s="87">
        <f t="shared" ca="1" si="13"/>
        <v>0.32420266113794927</v>
      </c>
      <c r="B179" s="93" t="s">
        <v>1</v>
      </c>
      <c r="C179" s="94"/>
      <c r="D179" s="95" t="s">
        <v>297</v>
      </c>
      <c r="E179" s="94" t="s">
        <v>298</v>
      </c>
      <c r="F179" s="94" t="s">
        <v>299</v>
      </c>
      <c r="G179" s="96">
        <v>1957</v>
      </c>
      <c r="H179" s="94" t="s">
        <v>69</v>
      </c>
      <c r="I179" s="94" t="s">
        <v>76</v>
      </c>
      <c r="J179" s="88" t="s">
        <v>1535</v>
      </c>
      <c r="K179" s="90" t="str">
        <f>CONCATENATE(SUBSTITUTE(Spotify!J194,",",";"),";",J179)</f>
        <v>yacht rock;classic rock;soft rock;oldies;retro;love;dance;fast;groovy;sweet</v>
      </c>
      <c r="L179" s="86"/>
      <c r="M179" s="54" t="str">
        <f>Spotify!B194</f>
        <v>Never Going Back Again - 2004 Remaster</v>
      </c>
      <c r="N179" s="92" t="str">
        <f>Spotify!D194</f>
        <v>Fleetwood Mac</v>
      </c>
      <c r="O179" s="92">
        <f>Spotify!E194</f>
        <v>28160</v>
      </c>
      <c r="P179" s="54">
        <f>ROUND(Spotify!U194,0)</f>
        <v>176</v>
      </c>
      <c r="Q179" s="54">
        <f>ROUND(Spotify!L194*100,0)</f>
        <v>34</v>
      </c>
      <c r="R179" s="54">
        <f>ROUND(Spotify!K194*100,0)</f>
        <v>65</v>
      </c>
      <c r="S179" s="54">
        <f>Spotify!N194</f>
        <v>-12.824999999999999</v>
      </c>
      <c r="T179" s="54">
        <f>ROUND(Spotify!T194*100,0)</f>
        <v>95</v>
      </c>
      <c r="U179" s="54">
        <f>ROUND(Spotify!F194/60000,1)</f>
        <v>2.2000000000000002</v>
      </c>
      <c r="V179" s="54">
        <f>ROUND(Spotify!Q194*100,0)</f>
        <v>86</v>
      </c>
      <c r="W179" s="54">
        <f>Spotify!G194</f>
        <v>73</v>
      </c>
    </row>
    <row r="180" spans="1:23" ht="15" x14ac:dyDescent="0.3">
      <c r="A180" s="87">
        <f t="shared" ca="1" si="13"/>
        <v>0.75187077138518421</v>
      </c>
      <c r="B180" s="93"/>
      <c r="C180" s="94"/>
      <c r="D180" s="89" t="s">
        <v>300</v>
      </c>
      <c r="E180" s="94" t="s">
        <v>228</v>
      </c>
      <c r="F180" s="94" t="s">
        <v>92</v>
      </c>
      <c r="G180" s="96">
        <v>1997</v>
      </c>
      <c r="H180" s="94" t="s">
        <v>12</v>
      </c>
      <c r="I180" s="94" t="s">
        <v>66</v>
      </c>
      <c r="J180" s="88" t="s">
        <v>1407</v>
      </c>
      <c r="K180" s="90" t="str">
        <f>CONCATENATE(SUBSTITUTE(Spotify!J195,",",";"),";",J180)</f>
        <v>singer-songwriter;slow;love;acoustic;alternative;oldies;retro</v>
      </c>
      <c r="L180" s="86"/>
      <c r="M180" s="54" t="str">
        <f>Spotify!B195</f>
        <v>New Light</v>
      </c>
      <c r="N180" s="92" t="str">
        <f>Spotify!D195</f>
        <v>John Mayer</v>
      </c>
      <c r="O180" s="92">
        <f>Spotify!E195</f>
        <v>44393</v>
      </c>
      <c r="P180" s="54">
        <f>ROUND(Spotify!U195,0)</f>
        <v>124</v>
      </c>
      <c r="Q180" s="54">
        <f>ROUND(Spotify!L195*100,0)</f>
        <v>69</v>
      </c>
      <c r="R180" s="54">
        <f>ROUND(Spotify!K195*100,0)</f>
        <v>83</v>
      </c>
      <c r="S180" s="54">
        <f>Spotify!N195</f>
        <v>-7.8620000000000001</v>
      </c>
      <c r="T180" s="54">
        <f>ROUND(Spotify!T195*100,0)</f>
        <v>85</v>
      </c>
      <c r="U180" s="54">
        <f>ROUND(Spotify!F195/60000,1)</f>
        <v>3.6</v>
      </c>
      <c r="V180" s="54">
        <f>ROUND(Spotify!Q195*100,0)</f>
        <v>32</v>
      </c>
      <c r="W180" s="54">
        <f>Spotify!G195</f>
        <v>79</v>
      </c>
    </row>
    <row r="181" spans="1:23" ht="15" x14ac:dyDescent="0.3">
      <c r="A181" s="87">
        <f t="shared" ca="1" si="13"/>
        <v>0.20607146445982194</v>
      </c>
      <c r="B181" s="93"/>
      <c r="C181" s="94" t="s">
        <v>37</v>
      </c>
      <c r="D181" s="89" t="s">
        <v>301</v>
      </c>
      <c r="E181" s="94" t="s">
        <v>138</v>
      </c>
      <c r="F181" s="94"/>
      <c r="G181" s="96">
        <v>1975</v>
      </c>
      <c r="H181" s="94" t="s">
        <v>13</v>
      </c>
      <c r="I181" s="94"/>
      <c r="J181" s="88" t="s">
        <v>1452</v>
      </c>
      <c r="K181" s="90" t="str">
        <f>CONCATENATE(SUBSTITUTE(Spotify!J196,",",";"),";",J181)</f>
        <v>;oldies;retro;dance;jive;groovy</v>
      </c>
      <c r="L181" s="86"/>
      <c r="M181" s="54" t="str">
        <f>Spotify!B196</f>
        <v>New Shoes</v>
      </c>
      <c r="N181" s="92" t="str">
        <f>Spotify!D196</f>
        <v>Paolo Nutini</v>
      </c>
      <c r="O181" s="92">
        <f>Spotify!E196</f>
        <v>39112</v>
      </c>
      <c r="P181" s="54">
        <f>ROUND(Spotify!U196,0)</f>
        <v>150</v>
      </c>
      <c r="Q181" s="54">
        <f>ROUND(Spotify!L196*100,0)</f>
        <v>74</v>
      </c>
      <c r="R181" s="54">
        <f>ROUND(Spotify!K196*100,0)</f>
        <v>75</v>
      </c>
      <c r="S181" s="54">
        <f>Spotify!N196</f>
        <v>-8.6920000000000002</v>
      </c>
      <c r="T181" s="54">
        <f>ROUND(Spotify!T196*100,0)</f>
        <v>85</v>
      </c>
      <c r="U181" s="54">
        <f>ROUND(Spotify!F196/60000,1)</f>
        <v>3.4</v>
      </c>
      <c r="V181" s="54">
        <f>ROUND(Spotify!Q196*100,0)</f>
        <v>47</v>
      </c>
      <c r="W181" s="54">
        <f>Spotify!G196</f>
        <v>69</v>
      </c>
    </row>
    <row r="182" spans="1:23" ht="15" x14ac:dyDescent="0.3">
      <c r="A182" s="87">
        <f t="shared" ca="1" si="13"/>
        <v>0.17949353447289107</v>
      </c>
      <c r="B182" s="93" t="s">
        <v>1</v>
      </c>
      <c r="C182" s="94"/>
      <c r="D182" s="95" t="s">
        <v>646</v>
      </c>
      <c r="E182" s="94" t="s">
        <v>647</v>
      </c>
      <c r="F182" s="94"/>
      <c r="G182" s="96">
        <v>1999</v>
      </c>
      <c r="H182" s="101" t="s">
        <v>12</v>
      </c>
      <c r="I182" s="101" t="s">
        <v>81</v>
      </c>
      <c r="J182" s="88" t="s">
        <v>1453</v>
      </c>
      <c r="K182" s="90" t="str">
        <f>CONCATENATE(SUBSTITUTE(Spotify!J197,",",";"),";",J182)</f>
        <v>progressive rock;art rock;baroque pop;psychedelic rock;blues;groovy;dance;love</v>
      </c>
      <c r="L182" s="86"/>
      <c r="M182" s="54" t="str">
        <f>Spotify!B197</f>
        <v>Nights In White Satin</v>
      </c>
      <c r="N182" s="92" t="str">
        <f>Spotify!D197</f>
        <v>The Moody Blues</v>
      </c>
      <c r="O182" s="92">
        <f>Spotify!E197</f>
        <v>42874</v>
      </c>
      <c r="P182" s="54">
        <f>ROUND(Spotify!U197,0)</f>
        <v>157</v>
      </c>
      <c r="Q182" s="54">
        <f>ROUND(Spotify!L197*100,0)</f>
        <v>34</v>
      </c>
      <c r="R182" s="54">
        <f>ROUND(Spotify!K197*100,0)</f>
        <v>19</v>
      </c>
      <c r="S182" s="54">
        <f>Spotify!N197</f>
        <v>-12.064</v>
      </c>
      <c r="T182" s="54">
        <f>ROUND(Spotify!T197*100,0)</f>
        <v>22</v>
      </c>
      <c r="U182" s="54">
        <f>ROUND(Spotify!F197/60000,1)</f>
        <v>4.4000000000000004</v>
      </c>
      <c r="V182" s="54">
        <f>ROUND(Spotify!Q197*100,0)</f>
        <v>25</v>
      </c>
      <c r="W182" s="54">
        <f>Spotify!G197</f>
        <v>60</v>
      </c>
    </row>
    <row r="183" spans="1:23" ht="15" x14ac:dyDescent="0.3">
      <c r="A183" s="87">
        <f t="shared" ca="1" si="13"/>
        <v>0.52280186709377585</v>
      </c>
      <c r="B183" s="93" t="s">
        <v>1</v>
      </c>
      <c r="C183" s="94" t="s">
        <v>77</v>
      </c>
      <c r="D183" s="95" t="s">
        <v>302</v>
      </c>
      <c r="E183" s="94" t="s">
        <v>573</v>
      </c>
      <c r="F183" s="94"/>
      <c r="G183" s="96">
        <v>1993</v>
      </c>
      <c r="H183" s="94" t="s">
        <v>12</v>
      </c>
      <c r="I183" s="94" t="s">
        <v>200</v>
      </c>
      <c r="J183" s="88" t="s">
        <v>1454</v>
      </c>
      <c r="K183" s="90" t="str">
        <f>CONCATENATE(SUBSTITUTE(Spotify!J198,",",";"),";",J183)</f>
        <v>classic rock;psychedelic rock;groovy;dance;slow</v>
      </c>
      <c r="L183" s="86"/>
      <c r="M183" s="54" t="str">
        <f>Spotify!B198</f>
        <v>Norwegian Wood (This Bird Has Flown) - Remastered 2009</v>
      </c>
      <c r="N183" s="92" t="str">
        <f>Spotify!D198</f>
        <v>The Beatles</v>
      </c>
      <c r="O183" s="92">
        <f>Spotify!E198</f>
        <v>24079</v>
      </c>
      <c r="P183" s="54">
        <f>ROUND(Spotify!U198,0)</f>
        <v>177</v>
      </c>
      <c r="Q183" s="54">
        <f>ROUND(Spotify!L198*100,0)</f>
        <v>37</v>
      </c>
      <c r="R183" s="54">
        <f>ROUND(Spotify!K198*100,0)</f>
        <v>43</v>
      </c>
      <c r="S183" s="54">
        <f>Spotify!N198</f>
        <v>-11.875999999999999</v>
      </c>
      <c r="T183" s="54">
        <f>ROUND(Spotify!T198*100,0)</f>
        <v>65</v>
      </c>
      <c r="U183" s="54">
        <f>ROUND(Spotify!F198/60000,1)</f>
        <v>2.1</v>
      </c>
      <c r="V183" s="54">
        <f>ROUND(Spotify!Q198*100,0)</f>
        <v>18</v>
      </c>
      <c r="W183" s="54">
        <f>Spotify!G198</f>
        <v>71</v>
      </c>
    </row>
    <row r="184" spans="1:23" ht="15" x14ac:dyDescent="0.3">
      <c r="A184" s="87">
        <f t="shared" ca="1" si="13"/>
        <v>0.86840362856660402</v>
      </c>
      <c r="B184" s="93" t="s">
        <v>1</v>
      </c>
      <c r="C184" s="94" t="s">
        <v>77</v>
      </c>
      <c r="D184" s="89" t="s">
        <v>303</v>
      </c>
      <c r="E184" s="94" t="s">
        <v>304</v>
      </c>
      <c r="F184" s="94"/>
      <c r="G184" s="96">
        <v>1999</v>
      </c>
      <c r="H184" s="94" t="s">
        <v>203</v>
      </c>
      <c r="I184" s="94"/>
      <c r="J184" s="88" t="s">
        <v>1455</v>
      </c>
      <c r="K184" s="90" t="str">
        <f>CONCATENATE(SUBSTITUTE(Spotify!J199,",",";"),";",J184)</f>
        <v>nu metal;rap metal;rock;alternative metal;groovy;dance;fast;love</v>
      </c>
      <c r="L184" s="86"/>
      <c r="M184" s="54" t="str">
        <f>Spotify!B199</f>
        <v>Numb</v>
      </c>
      <c r="N184" s="92" t="str">
        <f>Spotify!D199</f>
        <v>Linkin Park</v>
      </c>
      <c r="O184" s="92">
        <f>Spotify!E199</f>
        <v>37705</v>
      </c>
      <c r="P184" s="54">
        <f>ROUND(Spotify!U199,0)</f>
        <v>110</v>
      </c>
      <c r="Q184" s="54">
        <f>ROUND(Spotify!L199*100,0)</f>
        <v>87</v>
      </c>
      <c r="R184" s="54">
        <f>ROUND(Spotify!K199*100,0)</f>
        <v>49</v>
      </c>
      <c r="S184" s="54">
        <f>Spotify!N199</f>
        <v>-4.1849999999999996</v>
      </c>
      <c r="T184" s="54">
        <f>ROUND(Spotify!T199*100,0)</f>
        <v>21</v>
      </c>
      <c r="U184" s="54">
        <f>ROUND(Spotify!F199/60000,1)</f>
        <v>3.1</v>
      </c>
      <c r="V184" s="54">
        <f>ROUND(Spotify!Q199*100,0)</f>
        <v>0</v>
      </c>
      <c r="W184" s="54">
        <f>Spotify!G199</f>
        <v>90</v>
      </c>
    </row>
    <row r="185" spans="1:23" ht="15" x14ac:dyDescent="0.3">
      <c r="A185" s="87">
        <f t="shared" ca="1" si="13"/>
        <v>0.40561545442360147</v>
      </c>
      <c r="B185" s="93"/>
      <c r="C185" s="94" t="s">
        <v>105</v>
      </c>
      <c r="D185" s="95" t="s">
        <v>306</v>
      </c>
      <c r="E185" s="97" t="s">
        <v>90</v>
      </c>
      <c r="F185" s="94"/>
      <c r="G185" s="96">
        <v>1965</v>
      </c>
      <c r="H185" s="94" t="s">
        <v>13</v>
      </c>
      <c r="I185" s="94"/>
      <c r="J185" s="88" t="s">
        <v>1460</v>
      </c>
      <c r="K185" s="90" t="str">
        <f>CONCATENATE(SUBSTITUTE(Spotify!J200,",",";"),";",J185)</f>
        <v>latin pop;love;groovy;oldies;retro;acoustic</v>
      </c>
      <c r="L185" s="86"/>
      <c r="M185" s="54" t="str">
        <f>Spotify!B200</f>
        <v>Objection (Tango)</v>
      </c>
      <c r="N185" s="92" t="str">
        <f>Spotify!D200</f>
        <v>Shakira</v>
      </c>
      <c r="O185" s="92">
        <f>Spotify!E200</f>
        <v>37208</v>
      </c>
      <c r="P185" s="54">
        <f>ROUND(Spotify!U200,0)</f>
        <v>179</v>
      </c>
      <c r="Q185" s="54">
        <f>ROUND(Spotify!L200*100,0)</f>
        <v>86</v>
      </c>
      <c r="R185" s="54">
        <f>ROUND(Spotify!K200*100,0)</f>
        <v>60</v>
      </c>
      <c r="S185" s="54">
        <f>Spotify!N200</f>
        <v>-5.282</v>
      </c>
      <c r="T185" s="54">
        <f>ROUND(Spotify!T200*100,0)</f>
        <v>71</v>
      </c>
      <c r="U185" s="54">
        <f>ROUND(Spotify!F200/60000,1)</f>
        <v>3.7</v>
      </c>
      <c r="V185" s="54">
        <f>ROUND(Spotify!Q200*100,0)</f>
        <v>1</v>
      </c>
      <c r="W185" s="54">
        <f>Spotify!G200</f>
        <v>57</v>
      </c>
    </row>
    <row r="186" spans="1:23" ht="15" x14ac:dyDescent="0.3">
      <c r="A186" s="87">
        <f t="shared" ca="1" si="13"/>
        <v>0.89756089969973485</v>
      </c>
      <c r="B186" s="93"/>
      <c r="C186" s="94"/>
      <c r="D186" s="95" t="s">
        <v>602</v>
      </c>
      <c r="E186" s="94" t="s">
        <v>138</v>
      </c>
      <c r="F186" s="94"/>
      <c r="G186" s="96">
        <v>1976</v>
      </c>
      <c r="H186" s="94" t="s">
        <v>13</v>
      </c>
      <c r="I186" s="94"/>
      <c r="J186" s="88" t="s">
        <v>1456</v>
      </c>
      <c r="K186" s="90" t="str">
        <f>CONCATENATE(SUBSTITUTE(Spotify!J201,",",";"),";",J186)</f>
        <v>rock;oldies;retro;dance;jive;fast</v>
      </c>
      <c r="L186" s="86"/>
      <c r="M186" s="54" t="str">
        <f>Spotify!B201</f>
        <v>One</v>
      </c>
      <c r="N186" s="92" t="str">
        <f>Spotify!D201</f>
        <v>U2</v>
      </c>
      <c r="O186" s="92">
        <f>Spotify!E201</f>
        <v>33560</v>
      </c>
      <c r="P186" s="54">
        <f>ROUND(Spotify!U201,0)</f>
        <v>181</v>
      </c>
      <c r="Q186" s="54">
        <f>ROUND(Spotify!L201*100,0)</f>
        <v>53</v>
      </c>
      <c r="R186" s="54">
        <f>ROUND(Spotify!K201*100,0)</f>
        <v>39</v>
      </c>
      <c r="S186" s="54">
        <f>Spotify!N201</f>
        <v>-8.7929999999999993</v>
      </c>
      <c r="T186" s="54">
        <f>ROUND(Spotify!T201*100,0)</f>
        <v>33</v>
      </c>
      <c r="U186" s="54">
        <f>ROUND(Spotify!F201/60000,1)</f>
        <v>4.5999999999999996</v>
      </c>
      <c r="V186" s="54">
        <f>ROUND(Spotify!Q201*100,0)</f>
        <v>25</v>
      </c>
      <c r="W186" s="54">
        <f>Spotify!G201</f>
        <v>78</v>
      </c>
    </row>
    <row r="187" spans="1:23" s="53" customFormat="1" ht="15" x14ac:dyDescent="0.3">
      <c r="A187" s="87">
        <f t="shared" ca="1" si="13"/>
        <v>0.3426115239034252</v>
      </c>
      <c r="B187" s="93" t="s">
        <v>1</v>
      </c>
      <c r="C187" s="94" t="s">
        <v>14</v>
      </c>
      <c r="D187" s="95" t="s">
        <v>307</v>
      </c>
      <c r="E187" s="94" t="s">
        <v>65</v>
      </c>
      <c r="F187" s="94" t="s">
        <v>308</v>
      </c>
      <c r="G187" s="96">
        <v>1961</v>
      </c>
      <c r="H187" s="101" t="s">
        <v>239</v>
      </c>
      <c r="I187" s="101"/>
      <c r="J187" s="88" t="s">
        <v>1518</v>
      </c>
      <c r="K187" s="90" t="str">
        <f>CONCATENATE(SUBSTITUTE(Spotify!J202,",",";"),";",J187)</f>
        <v>;love;slow;oldies;retro;waltz</v>
      </c>
      <c r="L187" s="86"/>
      <c r="M187" s="54" t="str">
        <f>Spotify!B202</f>
        <v>One Love</v>
      </c>
      <c r="N187" s="92" t="str">
        <f>Spotify!D202</f>
        <v>Blue</v>
      </c>
      <c r="O187" s="92">
        <f>Spotify!E202</f>
        <v>2002</v>
      </c>
      <c r="P187" s="54">
        <f>ROUND(Spotify!U202,0)</f>
        <v>95</v>
      </c>
      <c r="Q187" s="54">
        <f>ROUND(Spotify!L202*100,0)</f>
        <v>72</v>
      </c>
      <c r="R187" s="54">
        <f>ROUND(Spotify!K202*100,0)</f>
        <v>68</v>
      </c>
      <c r="S187" s="54">
        <f>Spotify!N202</f>
        <v>-4.0389999999999997</v>
      </c>
      <c r="T187" s="54">
        <f>ROUND(Spotify!T202*100,0)</f>
        <v>85</v>
      </c>
      <c r="U187" s="54">
        <f>ROUND(Spotify!F202/60000,1)</f>
        <v>3.5</v>
      </c>
      <c r="V187" s="54">
        <f>ROUND(Spotify!Q202*100,0)</f>
        <v>2</v>
      </c>
      <c r="W187" s="54">
        <f>Spotify!G202</f>
        <v>67</v>
      </c>
    </row>
    <row r="188" spans="1:23" ht="15" x14ac:dyDescent="0.3">
      <c r="A188" s="87">
        <f t="shared" ca="1" si="13"/>
        <v>7.0152874782640984E-2</v>
      </c>
      <c r="B188" s="93" t="s">
        <v>1</v>
      </c>
      <c r="C188" s="94"/>
      <c r="D188" s="95" t="s">
        <v>309</v>
      </c>
      <c r="E188" s="94" t="s">
        <v>557</v>
      </c>
      <c r="F188" s="94"/>
      <c r="G188" s="96">
        <v>2000</v>
      </c>
      <c r="H188" s="94" t="s">
        <v>13</v>
      </c>
      <c r="I188" s="94"/>
      <c r="J188" s="88" t="s">
        <v>1459</v>
      </c>
      <c r="K188" s="90" t="e">
        <f>CONCATENATE(SUBSTITUTE(Spotify!#REF!,",",";"),";",J188)</f>
        <v>#REF!</v>
      </c>
      <c r="L188" s="86"/>
      <c r="M188" s="54" t="e">
        <f>Spotify!#REF!</f>
        <v>#REF!</v>
      </c>
      <c r="N188" s="92" t="e">
        <f>Spotify!#REF!</f>
        <v>#REF!</v>
      </c>
      <c r="O188" s="92" t="e">
        <f>Spotify!#REF!</f>
        <v>#REF!</v>
      </c>
      <c r="P188" s="54" t="e">
        <f>ROUND(Spotify!#REF!,0)</f>
        <v>#REF!</v>
      </c>
      <c r="Q188" s="54" t="e">
        <f>ROUND(Spotify!#REF!*100,0)</f>
        <v>#REF!</v>
      </c>
      <c r="R188" s="54" t="e">
        <f>ROUND(Spotify!#REF!*100,0)</f>
        <v>#REF!</v>
      </c>
      <c r="S188" s="54" t="e">
        <f>Spotify!#REF!</f>
        <v>#REF!</v>
      </c>
      <c r="T188" s="54" t="e">
        <f>ROUND(Spotify!#REF!*100,0)</f>
        <v>#REF!</v>
      </c>
      <c r="U188" s="54" t="e">
        <f>ROUND(Spotify!#REF!/60000,1)</f>
        <v>#REF!</v>
      </c>
      <c r="V188" s="54" t="e">
        <f>ROUND(Spotify!#REF!*100,0)</f>
        <v>#REF!</v>
      </c>
      <c r="W188" s="54" t="e">
        <f>Spotify!#REF!</f>
        <v>#REF!</v>
      </c>
    </row>
    <row r="189" spans="1:23" ht="15" x14ac:dyDescent="0.3">
      <c r="A189" s="87">
        <f t="shared" ca="1" si="13"/>
        <v>0.82458926622540996</v>
      </c>
      <c r="B189" s="93"/>
      <c r="C189" s="94" t="s">
        <v>46</v>
      </c>
      <c r="D189" s="95" t="s">
        <v>311</v>
      </c>
      <c r="E189" s="94" t="s">
        <v>312</v>
      </c>
      <c r="F189" s="94"/>
      <c r="G189" s="96">
        <v>1991</v>
      </c>
      <c r="H189" s="94" t="s">
        <v>12</v>
      </c>
      <c r="I189" s="94" t="s">
        <v>235</v>
      </c>
      <c r="J189" s="88" t="s">
        <v>1458</v>
      </c>
      <c r="K189" s="90" t="e">
        <f>CONCATENATE(SUBSTITUTE(Spotify!#REF!,",",";"),";",J189)</f>
        <v>#REF!</v>
      </c>
      <c r="L189" s="86"/>
      <c r="M189" s="54" t="e">
        <f>Spotify!#REF!</f>
        <v>#REF!</v>
      </c>
      <c r="N189" s="92" t="e">
        <f>Spotify!#REF!</f>
        <v>#REF!</v>
      </c>
      <c r="O189" s="92" t="e">
        <f>Spotify!#REF!</f>
        <v>#REF!</v>
      </c>
      <c r="P189" s="54" t="e">
        <f>ROUND(Spotify!#REF!,0)</f>
        <v>#REF!</v>
      </c>
      <c r="Q189" s="54" t="e">
        <f>ROUND(Spotify!#REF!*100,0)</f>
        <v>#REF!</v>
      </c>
      <c r="R189" s="54" t="e">
        <f>ROUND(Spotify!#REF!*100,0)</f>
        <v>#REF!</v>
      </c>
      <c r="S189" s="54" t="e">
        <f>Spotify!#REF!</f>
        <v>#REF!</v>
      </c>
      <c r="T189" s="54" t="e">
        <f>ROUND(Spotify!#REF!*100,0)</f>
        <v>#REF!</v>
      </c>
      <c r="U189" s="54" t="e">
        <f>ROUND(Spotify!#REF!/60000,1)</f>
        <v>#REF!</v>
      </c>
      <c r="V189" s="54" t="e">
        <f>ROUND(Spotify!#REF!*100,0)</f>
        <v>#REF!</v>
      </c>
      <c r="W189" s="54" t="e">
        <f>Spotify!#REF!</f>
        <v>#REF!</v>
      </c>
    </row>
    <row r="190" spans="1:23" ht="15" x14ac:dyDescent="0.3">
      <c r="A190" s="87"/>
      <c r="B190" s="93"/>
      <c r="C190" s="94"/>
      <c r="D190" s="95" t="s">
        <v>1770</v>
      </c>
      <c r="E190" s="94" t="s">
        <v>206</v>
      </c>
      <c r="F190" s="94"/>
      <c r="G190" s="96">
        <v>2010</v>
      </c>
      <c r="H190" s="94" t="s">
        <v>13</v>
      </c>
      <c r="I190" s="94"/>
      <c r="J190" s="88"/>
      <c r="K190" s="90" t="str">
        <f>CONCATENATE(SUBSTITUTE(Spotify!J204,",",";"),";",J190)</f>
        <v>adult standards;</v>
      </c>
      <c r="L190" s="86"/>
      <c r="M190" s="54" t="str">
        <f>Spotify!B204</f>
        <v>Paper Roses</v>
      </c>
      <c r="N190" s="92" t="str">
        <f>Spotify!D204</f>
        <v>Anita Bryant</v>
      </c>
      <c r="O190" s="92">
        <f>Spotify!E204</f>
        <v>27030</v>
      </c>
      <c r="P190" s="54">
        <f>ROUND(Spotify!U204,0)</f>
        <v>117</v>
      </c>
      <c r="Q190" s="54">
        <f>ROUND(Spotify!L204*100,0)</f>
        <v>12</v>
      </c>
      <c r="R190" s="54">
        <f>ROUND(Spotify!K204*100,0)</f>
        <v>35</v>
      </c>
      <c r="S190" s="54">
        <f>Spotify!N204</f>
        <v>-18.922999999999998</v>
      </c>
      <c r="T190" s="54">
        <f>ROUND(Spotify!T204*100,0)</f>
        <v>32</v>
      </c>
      <c r="U190" s="54">
        <f>ROUND(Spotify!F204/60000,1)</f>
        <v>2.9</v>
      </c>
      <c r="V190" s="54">
        <f>ROUND(Spotify!Q204*100,0)</f>
        <v>90</v>
      </c>
      <c r="W190" s="54">
        <f>Spotify!G204</f>
        <v>33</v>
      </c>
    </row>
    <row r="191" spans="1:23" ht="15" x14ac:dyDescent="0.3">
      <c r="A191" s="87">
        <f t="shared" ref="A191:A202" ca="1" si="14">RAND()</f>
        <v>0.43121192219766991</v>
      </c>
      <c r="B191" s="93" t="s">
        <v>1</v>
      </c>
      <c r="C191" s="94" t="s">
        <v>93</v>
      </c>
      <c r="D191" s="95" t="s">
        <v>313</v>
      </c>
      <c r="E191" s="94" t="s">
        <v>314</v>
      </c>
      <c r="F191" s="94"/>
      <c r="G191" s="96">
        <v>1977</v>
      </c>
      <c r="H191" s="94" t="s">
        <v>12</v>
      </c>
      <c r="I191" s="94" t="s">
        <v>13</v>
      </c>
      <c r="J191" s="88" t="s">
        <v>1517</v>
      </c>
      <c r="K191" s="90" t="str">
        <f>CONCATENATE(SUBSTITUTE(Spotify!J205,",",";"),";",J191)</f>
        <v>;groovy;oldies;retro</v>
      </c>
      <c r="L191" s="86"/>
      <c r="M191" s="54" t="str">
        <f>Spotify!B205</f>
        <v>Paradise</v>
      </c>
      <c r="N191" s="92" t="str">
        <f>Spotify!D205</f>
        <v>Coldplay</v>
      </c>
      <c r="O191" s="92">
        <f>Spotify!E205</f>
        <v>40840</v>
      </c>
      <c r="P191" s="54">
        <f>ROUND(Spotify!U205,0)</f>
        <v>140</v>
      </c>
      <c r="Q191" s="54">
        <f>ROUND(Spotify!L205*100,0)</f>
        <v>59</v>
      </c>
      <c r="R191" s="54">
        <f>ROUND(Spotify!K205*100,0)</f>
        <v>45</v>
      </c>
      <c r="S191" s="54">
        <f>Spotify!N205</f>
        <v>-6.7610000000000001</v>
      </c>
      <c r="T191" s="54">
        <f>ROUND(Spotify!T205*100,0)</f>
        <v>21</v>
      </c>
      <c r="U191" s="54">
        <f>ROUND(Spotify!F205/60000,1)</f>
        <v>4.5999999999999996</v>
      </c>
      <c r="V191" s="54">
        <f>ROUND(Spotify!Q205*100,0)</f>
        <v>5</v>
      </c>
      <c r="W191" s="54">
        <f>Spotify!G205</f>
        <v>86</v>
      </c>
    </row>
    <row r="192" spans="1:23" ht="15" x14ac:dyDescent="0.3">
      <c r="A192" s="87">
        <f t="shared" ca="1" si="14"/>
        <v>0.57137912438302951</v>
      </c>
      <c r="B192" s="93"/>
      <c r="C192" s="94"/>
      <c r="D192" s="100" t="s">
        <v>541</v>
      </c>
      <c r="E192" s="94" t="s">
        <v>558</v>
      </c>
      <c r="F192" s="94"/>
      <c r="G192" s="96">
        <v>2003</v>
      </c>
      <c r="H192" s="94" t="s">
        <v>12</v>
      </c>
      <c r="I192" s="94" t="s">
        <v>13</v>
      </c>
      <c r="J192" s="88" t="s">
        <v>1420</v>
      </c>
      <c r="K192" s="90" t="str">
        <f>CONCATENATE(SUBSTITUTE(Spotify!J206,",",";"),";",J192)</f>
        <v>motown;classic soul;soul;dance;fast;groovy;love</v>
      </c>
      <c r="L192" s="86"/>
      <c r="M192" s="54" t="str">
        <f>Spotify!B206</f>
        <v>Part-Time Lover</v>
      </c>
      <c r="N192" s="92" t="str">
        <f>Spotify!D206</f>
        <v>Stevie Wonder</v>
      </c>
      <c r="O192" s="92">
        <f>Spotify!E206</f>
        <v>31303</v>
      </c>
      <c r="P192" s="54">
        <f>ROUND(Spotify!U206,0)</f>
        <v>175</v>
      </c>
      <c r="Q192" s="54">
        <f>ROUND(Spotify!L206*100,0)</f>
        <v>62</v>
      </c>
      <c r="R192" s="54">
        <f>ROUND(Spotify!K206*100,0)</f>
        <v>66</v>
      </c>
      <c r="S192" s="54">
        <f>Spotify!N206</f>
        <v>-13.606</v>
      </c>
      <c r="T192" s="54">
        <f>ROUND(Spotify!T206*100,0)</f>
        <v>96</v>
      </c>
      <c r="U192" s="54">
        <f>ROUND(Spotify!F206/60000,1)</f>
        <v>4.2</v>
      </c>
      <c r="V192" s="54">
        <f>ROUND(Spotify!Q206*100,0)</f>
        <v>17</v>
      </c>
      <c r="W192" s="54">
        <f>Spotify!G206</f>
        <v>75</v>
      </c>
    </row>
    <row r="193" spans="1:23" ht="15" x14ac:dyDescent="0.3">
      <c r="A193" s="87">
        <f t="shared" ca="1" si="14"/>
        <v>0.91486479479419192</v>
      </c>
      <c r="B193" s="99" t="s">
        <v>1</v>
      </c>
      <c r="C193" s="105"/>
      <c r="D193" s="89" t="s">
        <v>315</v>
      </c>
      <c r="E193" s="105" t="s">
        <v>316</v>
      </c>
      <c r="F193" s="105"/>
      <c r="G193" s="106">
        <v>2000</v>
      </c>
      <c r="H193" s="105" t="s">
        <v>13</v>
      </c>
      <c r="I193" s="105"/>
      <c r="J193" s="88" t="s">
        <v>1457</v>
      </c>
      <c r="K193" s="90" t="str">
        <f>CONCATENATE(SUBSTITUTE(Spotify!J207,",",";"),";",J193)</f>
        <v>soft pop;love;slow;dance</v>
      </c>
      <c r="L193" s="86"/>
      <c r="M193" s="54" t="str">
        <f>Spotify!B207</f>
        <v>Perfect</v>
      </c>
      <c r="N193" s="92" t="str">
        <f>Spotify!D207</f>
        <v>Ed Sheeran</v>
      </c>
      <c r="O193" s="92">
        <f>Spotify!E207</f>
        <v>42797</v>
      </c>
      <c r="P193" s="54">
        <f>ROUND(Spotify!U207,0)</f>
        <v>95</v>
      </c>
      <c r="Q193" s="54">
        <f>ROUND(Spotify!L207*100,0)</f>
        <v>45</v>
      </c>
      <c r="R193" s="54">
        <f>ROUND(Spotify!K207*100,0)</f>
        <v>60</v>
      </c>
      <c r="S193" s="54">
        <f>Spotify!N207</f>
        <v>-6.3120000000000003</v>
      </c>
      <c r="T193" s="54">
        <f>ROUND(Spotify!T207*100,0)</f>
        <v>17</v>
      </c>
      <c r="U193" s="54">
        <f>ROUND(Spotify!F207/60000,1)</f>
        <v>4.4000000000000004</v>
      </c>
      <c r="V193" s="54">
        <f>ROUND(Spotify!Q207*100,0)</f>
        <v>16</v>
      </c>
      <c r="W193" s="54">
        <f>Spotify!G207</f>
        <v>89</v>
      </c>
    </row>
    <row r="194" spans="1:23" ht="15" x14ac:dyDescent="0.3">
      <c r="A194" s="87">
        <f t="shared" ca="1" si="14"/>
        <v>0.73930797893114419</v>
      </c>
      <c r="B194" s="99" t="s">
        <v>1</v>
      </c>
      <c r="C194" s="105"/>
      <c r="D194" s="89" t="s">
        <v>550</v>
      </c>
      <c r="E194" s="105" t="s">
        <v>551</v>
      </c>
      <c r="F194" s="105"/>
      <c r="G194" s="106">
        <v>1977</v>
      </c>
      <c r="H194" s="105" t="s">
        <v>170</v>
      </c>
      <c r="I194" s="105"/>
      <c r="J194" s="88" t="s">
        <v>1571</v>
      </c>
      <c r="K194" s="90" t="str">
        <f>CONCATENATE(SUBSTITUTE(Spotify!J208,",",";"),";",J194)</f>
        <v>folk rock;singer-songwriter;alternative;acoustic;oldies;retro;love;folk</v>
      </c>
      <c r="L194" s="86"/>
      <c r="M194" s="54" t="str">
        <f>Spotify!B208</f>
        <v>Photographs And Memories</v>
      </c>
      <c r="N194" s="92" t="str">
        <f>Spotify!D208</f>
        <v>Jim Croce</v>
      </c>
      <c r="O194" s="92">
        <f>Spotify!E208</f>
        <v>27298</v>
      </c>
      <c r="P194" s="54">
        <f>ROUND(Spotify!U208,0)</f>
        <v>123</v>
      </c>
      <c r="Q194" s="54">
        <f>ROUND(Spotify!L208*100,0)</f>
        <v>23</v>
      </c>
      <c r="R194" s="54">
        <f>ROUND(Spotify!K208*100,0)</f>
        <v>58</v>
      </c>
      <c r="S194" s="54">
        <f>Spotify!N208</f>
        <v>-14.728</v>
      </c>
      <c r="T194" s="54">
        <f>ROUND(Spotify!T208*100,0)</f>
        <v>49</v>
      </c>
      <c r="U194" s="54">
        <f>ROUND(Spotify!F208/60000,1)</f>
        <v>2.1</v>
      </c>
      <c r="V194" s="54">
        <f>ROUND(Spotify!Q208*100,0)</f>
        <v>65</v>
      </c>
      <c r="W194" s="54">
        <f>Spotify!G208</f>
        <v>0</v>
      </c>
    </row>
    <row r="195" spans="1:23" ht="15" x14ac:dyDescent="0.3">
      <c r="A195" s="87">
        <f t="shared" ca="1" si="14"/>
        <v>0.29959818794628268</v>
      </c>
      <c r="B195" s="93"/>
      <c r="C195" s="94" t="s">
        <v>46</v>
      </c>
      <c r="D195" s="95" t="s">
        <v>785</v>
      </c>
      <c r="E195" s="94" t="s">
        <v>140</v>
      </c>
      <c r="F195" s="94"/>
      <c r="G195" s="96">
        <v>2011</v>
      </c>
      <c r="H195" s="94" t="s">
        <v>12</v>
      </c>
      <c r="I195" s="94" t="s">
        <v>261</v>
      </c>
      <c r="J195" s="88" t="s">
        <v>1461</v>
      </c>
      <c r="K195" s="90" t="str">
        <f>CONCATENATE(SUBSTITUTE(Spotify!J209,",",";"),";",J195)</f>
        <v>soft rock;dance;fast;love;acoustic</v>
      </c>
      <c r="L195" s="86"/>
      <c r="M195" s="54" t="str">
        <f>Spotify!B209</f>
        <v>Piano Man</v>
      </c>
      <c r="N195" s="92" t="str">
        <f>Spotify!D209</f>
        <v>Billy Joel</v>
      </c>
      <c r="O195" s="92">
        <f>Spotify!E209</f>
        <v>26975</v>
      </c>
      <c r="P195" s="54">
        <f>ROUND(Spotify!U209,0)</f>
        <v>178</v>
      </c>
      <c r="Q195" s="54">
        <f>ROUND(Spotify!L209*100,0)</f>
        <v>55</v>
      </c>
      <c r="R195" s="54">
        <f>ROUND(Spotify!K209*100,0)</f>
        <v>33</v>
      </c>
      <c r="S195" s="54">
        <f>Spotify!N209</f>
        <v>-6.4829999999999997</v>
      </c>
      <c r="T195" s="54">
        <f>ROUND(Spotify!T209*100,0)</f>
        <v>43</v>
      </c>
      <c r="U195" s="54">
        <f>ROUND(Spotify!F209/60000,1)</f>
        <v>5.7</v>
      </c>
      <c r="V195" s="54">
        <f>ROUND(Spotify!Q209*100,0)</f>
        <v>61</v>
      </c>
      <c r="W195" s="54">
        <f>Spotify!G209</f>
        <v>85</v>
      </c>
    </row>
    <row r="196" spans="1:23" ht="15" x14ac:dyDescent="0.3">
      <c r="A196" s="87">
        <f t="shared" ca="1" si="14"/>
        <v>0.26380168560703299</v>
      </c>
      <c r="B196" s="93" t="s">
        <v>1</v>
      </c>
      <c r="C196" s="94" t="s">
        <v>94</v>
      </c>
      <c r="D196" s="100" t="s">
        <v>548</v>
      </c>
      <c r="E196" s="94" t="s">
        <v>547</v>
      </c>
      <c r="F196" s="94"/>
      <c r="G196" s="96">
        <v>2006</v>
      </c>
      <c r="H196" s="94" t="s">
        <v>13</v>
      </c>
      <c r="I196" s="94" t="s">
        <v>12</v>
      </c>
      <c r="J196" s="88" t="s">
        <v>1462</v>
      </c>
      <c r="K196" s="90" t="str">
        <f>CONCATENATE(SUBSTITUTE(Spotify!J210,",",";"),";",J196)</f>
        <v>doo-wop;dance;fast;love</v>
      </c>
      <c r="L196" s="86"/>
      <c r="M196" s="54" t="str">
        <f>Spotify!B210</f>
        <v>Poetry in Motion</v>
      </c>
      <c r="N196" s="92" t="str">
        <f>Spotify!D210</f>
        <v>Johnny Tillotson</v>
      </c>
      <c r="O196" s="92">
        <f>Spotify!E210</f>
        <v>41751</v>
      </c>
      <c r="P196" s="54">
        <f>ROUND(Spotify!U210,0)</f>
        <v>135</v>
      </c>
      <c r="Q196" s="54">
        <f>ROUND(Spotify!L210*100,0)</f>
        <v>71</v>
      </c>
      <c r="R196" s="54">
        <f>ROUND(Spotify!K210*100,0)</f>
        <v>49</v>
      </c>
      <c r="S196" s="54">
        <f>Spotify!N210</f>
        <v>-7.3869999999999996</v>
      </c>
      <c r="T196" s="54">
        <f>ROUND(Spotify!T210*100,0)</f>
        <v>91</v>
      </c>
      <c r="U196" s="54">
        <f>ROUND(Spotify!F210/60000,1)</f>
        <v>2.6</v>
      </c>
      <c r="V196" s="54">
        <f>ROUND(Spotify!Q210*100,0)</f>
        <v>39</v>
      </c>
      <c r="W196" s="54">
        <f>Spotify!G210</f>
        <v>0</v>
      </c>
    </row>
    <row r="197" spans="1:23" ht="15" x14ac:dyDescent="0.3">
      <c r="A197" s="87">
        <f t="shared" ca="1" si="14"/>
        <v>0.79337914436207324</v>
      </c>
      <c r="B197" s="93" t="s">
        <v>1</v>
      </c>
      <c r="C197" s="94" t="s">
        <v>10</v>
      </c>
      <c r="D197" s="95" t="s">
        <v>317</v>
      </c>
      <c r="E197" s="94" t="s">
        <v>318</v>
      </c>
      <c r="F197" s="94"/>
      <c r="G197" s="96">
        <v>1967</v>
      </c>
      <c r="H197" s="94" t="s">
        <v>12</v>
      </c>
      <c r="I197" s="94" t="s">
        <v>13</v>
      </c>
      <c r="J197" s="88" t="s">
        <v>1525</v>
      </c>
      <c r="K197" s="90" t="str">
        <f>CONCATENATE(SUBSTITUTE(Spotify!J211,",",";"),";",J197)</f>
        <v>rockabilly;slow;oldies;retro;love;acoustic;waltz</v>
      </c>
      <c r="L197" s="86"/>
      <c r="M197" s="54" t="str">
        <f>Spotify!B211</f>
        <v>Oh, Pretty Woman</v>
      </c>
      <c r="N197" s="92" t="str">
        <f>Spotify!D211</f>
        <v>Roy Orbison</v>
      </c>
      <c r="O197" s="92">
        <f>Spotify!E211</f>
        <v>38804</v>
      </c>
      <c r="P197" s="54">
        <f>ROUND(Spotify!U211,0)</f>
        <v>127</v>
      </c>
      <c r="Q197" s="54">
        <f>ROUND(Spotify!L211*100,0)</f>
        <v>58</v>
      </c>
      <c r="R197" s="54">
        <f>ROUND(Spotify!K211*100,0)</f>
        <v>61</v>
      </c>
      <c r="S197" s="54">
        <f>Spotify!N211</f>
        <v>-9.734</v>
      </c>
      <c r="T197" s="54">
        <f>ROUND(Spotify!T211*100,0)</f>
        <v>95</v>
      </c>
      <c r="U197" s="54">
        <f>ROUND(Spotify!F211/60000,1)</f>
        <v>2.9</v>
      </c>
      <c r="V197" s="54">
        <f>ROUND(Spotify!Q211*100,0)</f>
        <v>73</v>
      </c>
      <c r="W197" s="54">
        <f>Spotify!G211</f>
        <v>69</v>
      </c>
    </row>
    <row r="198" spans="1:23" ht="15" x14ac:dyDescent="0.3">
      <c r="A198" s="87">
        <f t="shared" ca="1" si="14"/>
        <v>0.32823567907372797</v>
      </c>
      <c r="B198" s="93"/>
      <c r="C198" s="94"/>
      <c r="D198" s="95" t="s">
        <v>319</v>
      </c>
      <c r="E198" s="97" t="s">
        <v>90</v>
      </c>
      <c r="F198" s="94"/>
      <c r="G198" s="96">
        <v>1965</v>
      </c>
      <c r="H198" s="94" t="s">
        <v>170</v>
      </c>
      <c r="I198" s="94"/>
      <c r="J198" s="88" t="s">
        <v>1637</v>
      </c>
      <c r="K198" s="90" t="str">
        <f>CONCATENATE(SUBSTITUTE(Spotify!J212,",",";"),";",J198)</f>
        <v>bossa nova;brazilian jazz;latin jazz;oldies;retro;acoustic;love;groovy;folk;waltz</v>
      </c>
      <c r="L198" s="86"/>
      <c r="M198" s="54" t="str">
        <f>Spotify!B212</f>
        <v>Pretty World</v>
      </c>
      <c r="N198" s="92" t="str">
        <f>Spotify!D212</f>
        <v>Sergio Mendes &amp; Brasil '66</v>
      </c>
      <c r="O198" s="92">
        <f>Spotify!E212</f>
        <v>31778</v>
      </c>
      <c r="P198" s="54">
        <f>ROUND(Spotify!U212,0)</f>
        <v>122</v>
      </c>
      <c r="Q198" s="54">
        <f>ROUND(Spotify!L212*100,0)</f>
        <v>38</v>
      </c>
      <c r="R198" s="54">
        <f>ROUND(Spotify!K212*100,0)</f>
        <v>62</v>
      </c>
      <c r="S198" s="54">
        <f>Spotify!N212</f>
        <v>-16.210999999999999</v>
      </c>
      <c r="T198" s="54">
        <f>ROUND(Spotify!T212*100,0)</f>
        <v>89</v>
      </c>
      <c r="U198" s="54">
        <f>ROUND(Spotify!F212/60000,1)</f>
        <v>3.3</v>
      </c>
      <c r="V198" s="54">
        <f>ROUND(Spotify!Q212*100,0)</f>
        <v>71</v>
      </c>
      <c r="W198" s="54">
        <f>Spotify!G212</f>
        <v>24</v>
      </c>
    </row>
    <row r="199" spans="1:23" ht="15" x14ac:dyDescent="0.3">
      <c r="A199" s="87">
        <f t="shared" ca="1" si="14"/>
        <v>0.89964792030566643</v>
      </c>
      <c r="B199" s="93"/>
      <c r="C199" s="94" t="s">
        <v>10</v>
      </c>
      <c r="D199" s="95" t="s">
        <v>320</v>
      </c>
      <c r="E199" s="97" t="s">
        <v>321</v>
      </c>
      <c r="F199" s="94"/>
      <c r="G199" s="96">
        <v>2003</v>
      </c>
      <c r="H199" s="94" t="s">
        <v>322</v>
      </c>
      <c r="I199" s="94" t="s">
        <v>29</v>
      </c>
      <c r="J199" s="88" t="s">
        <v>1463</v>
      </c>
      <c r="K199" s="90" t="str">
        <f>CONCATENATE(SUBSTITUTE(Spotify!J213,",",";"),";",J199)</f>
        <v>;alternative;acoustic;groovy</v>
      </c>
      <c r="L199" s="86"/>
      <c r="M199" s="54" t="str">
        <f>Spotify!B213</f>
        <v>Price Tag</v>
      </c>
      <c r="N199" s="92" t="str">
        <f>Spotify!D213</f>
        <v>Jessie J;B.o.B</v>
      </c>
      <c r="O199" s="92">
        <f>Spotify!E213</f>
        <v>40544</v>
      </c>
      <c r="P199" s="54">
        <f>ROUND(Spotify!U213,0)</f>
        <v>175</v>
      </c>
      <c r="Q199" s="54">
        <f>ROUND(Spotify!L213*100,0)</f>
        <v>83</v>
      </c>
      <c r="R199" s="54">
        <f>ROUND(Spotify!K213*100,0)</f>
        <v>64</v>
      </c>
      <c r="S199" s="54">
        <f>Spotify!N213</f>
        <v>-3.9449999999999998</v>
      </c>
      <c r="T199" s="54">
        <f>ROUND(Spotify!T213*100,0)</f>
        <v>68</v>
      </c>
      <c r="U199" s="54">
        <f>ROUND(Spotify!F213/60000,1)</f>
        <v>3.7</v>
      </c>
      <c r="V199" s="54">
        <f>ROUND(Spotify!Q213*100,0)</f>
        <v>3</v>
      </c>
      <c r="W199" s="54">
        <f>Spotify!G213</f>
        <v>68</v>
      </c>
    </row>
    <row r="200" spans="1:23" ht="15" x14ac:dyDescent="0.3">
      <c r="A200" s="87">
        <f t="shared" ca="1" si="14"/>
        <v>0.92060474817924232</v>
      </c>
      <c r="B200" s="93" t="s">
        <v>1</v>
      </c>
      <c r="C200" s="94" t="s">
        <v>71</v>
      </c>
      <c r="D200" s="100" t="s">
        <v>323</v>
      </c>
      <c r="E200" s="94" t="s">
        <v>324</v>
      </c>
      <c r="F200" s="94"/>
      <c r="G200" s="96">
        <v>2002</v>
      </c>
      <c r="H200" s="94" t="s">
        <v>13</v>
      </c>
      <c r="I200" s="94"/>
      <c r="J200" s="88" t="s">
        <v>1390</v>
      </c>
      <c r="K200" s="90" t="str">
        <f>CONCATENATE(SUBSTITUTE(Spotify!J214,",",";"),";",J200)</f>
        <v>;dance;fast;love;groovy</v>
      </c>
      <c r="L200" s="86"/>
      <c r="M200" s="54" t="str">
        <f>Spotify!B214</f>
        <v>Quando Quando Quando</v>
      </c>
      <c r="N200" s="92" t="str">
        <f>Spotify!D214</f>
        <v>Engelbert Humperdinck</v>
      </c>
      <c r="O200" s="92">
        <f>Spotify!E214</f>
        <v>25053</v>
      </c>
      <c r="P200" s="54">
        <f>ROUND(Spotify!U214,0)</f>
        <v>176</v>
      </c>
      <c r="Q200" s="54">
        <f>ROUND(Spotify!L214*100,0)</f>
        <v>59</v>
      </c>
      <c r="R200" s="54">
        <f>ROUND(Spotify!K214*100,0)</f>
        <v>37</v>
      </c>
      <c r="S200" s="54">
        <f>Spotify!N214</f>
        <v>-8.9559999999999995</v>
      </c>
      <c r="T200" s="54">
        <f>ROUND(Spotify!T214*100,0)</f>
        <v>84</v>
      </c>
      <c r="U200" s="54">
        <f>ROUND(Spotify!F214/60000,1)</f>
        <v>3.4</v>
      </c>
      <c r="V200" s="54">
        <f>ROUND(Spotify!Q214*100,0)</f>
        <v>25</v>
      </c>
      <c r="W200" s="54">
        <f>Spotify!G214</f>
        <v>65</v>
      </c>
    </row>
    <row r="201" spans="1:23" ht="15" x14ac:dyDescent="0.3">
      <c r="A201" s="87">
        <f t="shared" ca="1" si="14"/>
        <v>0.16655878614074016</v>
      </c>
      <c r="B201" s="93" t="s">
        <v>1</v>
      </c>
      <c r="C201" s="94"/>
      <c r="D201" s="89" t="s">
        <v>1573</v>
      </c>
      <c r="E201" s="97" t="s">
        <v>1574</v>
      </c>
      <c r="F201" s="97"/>
      <c r="G201" s="98">
        <v>1991</v>
      </c>
      <c r="H201" s="97" t="s">
        <v>13</v>
      </c>
      <c r="I201" s="97" t="s">
        <v>29</v>
      </c>
      <c r="J201" s="90"/>
      <c r="K201" s="90" t="str">
        <f>CONCATENATE(SUBSTITUTE(Spotify!J217,",",";"),";",J201)</f>
        <v>disco;</v>
      </c>
      <c r="L201" s="86"/>
      <c r="M201" s="54" t="str">
        <f>Spotify!B217</f>
        <v>Rasputin</v>
      </c>
      <c r="N201" s="92" t="str">
        <f>Spotify!D217</f>
        <v>Boney M.</v>
      </c>
      <c r="O201" s="92">
        <f>Spotify!E217</f>
        <v>1978</v>
      </c>
      <c r="P201" s="54">
        <f>ROUND(Spotify!U217,0)</f>
        <v>126</v>
      </c>
      <c r="Q201" s="54">
        <f>ROUND(Spotify!L217*100,0)</f>
        <v>89</v>
      </c>
      <c r="R201" s="54">
        <f>ROUND(Spotify!K217*100,0)</f>
        <v>64</v>
      </c>
      <c r="S201" s="54">
        <f>Spotify!N217</f>
        <v>-6.5090000000000003</v>
      </c>
      <c r="T201" s="54">
        <f>ROUND(Spotify!T217*100,0)</f>
        <v>97</v>
      </c>
      <c r="U201" s="54">
        <f>ROUND(Spotify!F217/60000,1)</f>
        <v>5.9</v>
      </c>
      <c r="V201" s="54">
        <f>ROUND(Spotify!Q217*100,0)</f>
        <v>29</v>
      </c>
      <c r="W201" s="54">
        <f>Spotify!G217</f>
        <v>68</v>
      </c>
    </row>
    <row r="202" spans="1:23" s="53" customFormat="1" ht="15" x14ac:dyDescent="0.3">
      <c r="A202" s="87">
        <f t="shared" ca="1" si="14"/>
        <v>0.78668147744159311</v>
      </c>
      <c r="B202" s="93"/>
      <c r="C202" s="94" t="s">
        <v>10</v>
      </c>
      <c r="D202" s="95" t="s">
        <v>327</v>
      </c>
      <c r="E202" s="97" t="s">
        <v>328</v>
      </c>
      <c r="F202" s="94"/>
      <c r="G202" s="96">
        <v>2002</v>
      </c>
      <c r="H202" s="94" t="s">
        <v>13</v>
      </c>
      <c r="I202" s="94"/>
      <c r="J202" s="88" t="s">
        <v>1465</v>
      </c>
      <c r="K202" s="90" t="str">
        <f>CONCATENATE(SUBSTITUTE(Spotify!J218,",",";"),";",J202)</f>
        <v>;groovy;dance;acoustic;alternative</v>
      </c>
      <c r="L202" s="86"/>
      <c r="M202" s="54" t="str">
        <f>Spotify!B218</f>
        <v>Rhythm Of Love</v>
      </c>
      <c r="N202" s="92" t="str">
        <f>Spotify!D218</f>
        <v>Plain White T's</v>
      </c>
      <c r="O202" s="92">
        <f>Spotify!E218</f>
        <v>40179</v>
      </c>
      <c r="P202" s="54">
        <f>ROUND(Spotify!U218,0)</f>
        <v>172</v>
      </c>
      <c r="Q202" s="54">
        <f>ROUND(Spotify!L218*100,0)</f>
        <v>54</v>
      </c>
      <c r="R202" s="54">
        <f>ROUND(Spotify!K218*100,0)</f>
        <v>53</v>
      </c>
      <c r="S202" s="54">
        <f>Spotify!N218</f>
        <v>-7.7210000000000001</v>
      </c>
      <c r="T202" s="54">
        <f>ROUND(Spotify!T218*100,0)</f>
        <v>73</v>
      </c>
      <c r="U202" s="54">
        <f>ROUND(Spotify!F218/60000,1)</f>
        <v>3.3</v>
      </c>
      <c r="V202" s="54">
        <f>ROUND(Spotify!Q218*100,0)</f>
        <v>36</v>
      </c>
      <c r="W202" s="54">
        <f>Spotify!G218</f>
        <v>62</v>
      </c>
    </row>
    <row r="203" spans="1:23" ht="15" x14ac:dyDescent="0.3">
      <c r="A203" s="87">
        <f t="shared" ref="A203:A225" ca="1" si="15">RAND()</f>
        <v>0.2432817846590849</v>
      </c>
      <c r="B203" s="99" t="s">
        <v>1</v>
      </c>
      <c r="C203" s="97" t="s">
        <v>93</v>
      </c>
      <c r="D203" s="89" t="s">
        <v>329</v>
      </c>
      <c r="E203" s="97" t="s">
        <v>330</v>
      </c>
      <c r="F203" s="97"/>
      <c r="G203" s="98">
        <v>2015</v>
      </c>
      <c r="H203" s="97" t="s">
        <v>13</v>
      </c>
      <c r="I203" s="97"/>
      <c r="J203" s="90" t="s">
        <v>1398</v>
      </c>
      <c r="K203" s="90" t="e">
        <f>CONCATENATE(SUBSTITUTE(Spotify!#REF!,",",";"),";",J203)</f>
        <v>#REF!</v>
      </c>
      <c r="L203" s="86"/>
      <c r="M203" s="54" t="e">
        <f>Spotify!#REF!</f>
        <v>#REF!</v>
      </c>
      <c r="N203" s="92" t="e">
        <f>Spotify!#REF!</f>
        <v>#REF!</v>
      </c>
      <c r="O203" s="92" t="e">
        <f>Spotify!#REF!</f>
        <v>#REF!</v>
      </c>
      <c r="P203" s="54" t="e">
        <f>ROUND(Spotify!#REF!,0)</f>
        <v>#REF!</v>
      </c>
      <c r="Q203" s="54" t="e">
        <f>ROUND(Spotify!#REF!*100,0)</f>
        <v>#REF!</v>
      </c>
      <c r="R203" s="54" t="e">
        <f>ROUND(Spotify!#REF!*100,0)</f>
        <v>#REF!</v>
      </c>
      <c r="S203" s="54" t="e">
        <f>Spotify!#REF!</f>
        <v>#REF!</v>
      </c>
      <c r="T203" s="54" t="e">
        <f>ROUND(Spotify!#REF!*100,0)</f>
        <v>#REF!</v>
      </c>
      <c r="U203" s="54" t="e">
        <f>ROUND(Spotify!#REF!/60000,1)</f>
        <v>#REF!</v>
      </c>
      <c r="V203" s="54" t="e">
        <f>ROUND(Spotify!#REF!*100,0)</f>
        <v>#REF!</v>
      </c>
      <c r="W203" s="54" t="e">
        <f>Spotify!#REF!</f>
        <v>#REF!</v>
      </c>
    </row>
    <row r="204" spans="1:23" ht="15" x14ac:dyDescent="0.3">
      <c r="A204" s="87">
        <f t="shared" ca="1" si="15"/>
        <v>6.5424249817615077E-2</v>
      </c>
      <c r="B204" s="99" t="s">
        <v>1</v>
      </c>
      <c r="C204" s="97" t="s">
        <v>46</v>
      </c>
      <c r="D204" s="89" t="s">
        <v>331</v>
      </c>
      <c r="E204" s="97" t="s">
        <v>332</v>
      </c>
      <c r="F204" s="97" t="s">
        <v>333</v>
      </c>
      <c r="G204" s="98">
        <v>1960</v>
      </c>
      <c r="H204" s="97" t="s">
        <v>13</v>
      </c>
      <c r="I204" s="97" t="s">
        <v>196</v>
      </c>
      <c r="J204" s="88" t="s">
        <v>1530</v>
      </c>
      <c r="K204" s="90" t="str">
        <f>CONCATENATE(SUBSTITUTE(Spotify!J222,",",";"),";",J204)</f>
        <v>post-grunge;rock;oldies;retro;love;sweet</v>
      </c>
      <c r="L204" s="86"/>
      <c r="M204" s="54" t="str">
        <f>Spotify!B222</f>
        <v>Rockstar</v>
      </c>
      <c r="N204" s="92" t="str">
        <f>Spotify!D222</f>
        <v>Nickelback</v>
      </c>
      <c r="O204" s="92">
        <f>Spotify!E222</f>
        <v>38621</v>
      </c>
      <c r="P204" s="54">
        <f>ROUND(Spotify!U222,0)</f>
        <v>144</v>
      </c>
      <c r="Q204" s="54">
        <f>ROUND(Spotify!L222*100,0)</f>
        <v>91</v>
      </c>
      <c r="R204" s="54">
        <f>ROUND(Spotify!K222*100,0)</f>
        <v>62</v>
      </c>
      <c r="S204" s="54">
        <f>Spotify!N222</f>
        <v>-3.004</v>
      </c>
      <c r="T204" s="54">
        <f>ROUND(Spotify!T222*100,0)</f>
        <v>69</v>
      </c>
      <c r="U204" s="54">
        <f>ROUND(Spotify!F222/60000,1)</f>
        <v>4.2</v>
      </c>
      <c r="V204" s="54">
        <f>ROUND(Spotify!Q222*100,0)</f>
        <v>5</v>
      </c>
      <c r="W204" s="54">
        <f>Spotify!G222</f>
        <v>67</v>
      </c>
    </row>
    <row r="205" spans="1:23" ht="15" x14ac:dyDescent="0.3">
      <c r="A205" s="87">
        <f t="shared" ca="1" si="15"/>
        <v>0.40517406452945437</v>
      </c>
      <c r="B205" s="93" t="s">
        <v>1</v>
      </c>
      <c r="C205" s="94" t="s">
        <v>46</v>
      </c>
      <c r="D205" s="95" t="s">
        <v>334</v>
      </c>
      <c r="E205" s="97" t="s">
        <v>28</v>
      </c>
      <c r="F205" s="94"/>
      <c r="G205" s="96">
        <v>2011</v>
      </c>
      <c r="H205" s="94" t="s">
        <v>12</v>
      </c>
      <c r="I205" s="94" t="s">
        <v>29</v>
      </c>
      <c r="J205" s="88" t="s">
        <v>1466</v>
      </c>
      <c r="K205" s="90" t="str">
        <f>CONCATENATE(SUBSTITUTE(Spotify!J223,",",";"),";",J205)</f>
        <v>soft pop;alternative;love;acoustic;dance</v>
      </c>
      <c r="L205" s="86"/>
      <c r="M205" s="54" t="str">
        <f>Spotify!B223</f>
        <v>Rolling in the Deep</v>
      </c>
      <c r="N205" s="92" t="str">
        <f>Spotify!D223</f>
        <v>Adele</v>
      </c>
      <c r="O205" s="92">
        <f>Spotify!E223</f>
        <v>40567</v>
      </c>
      <c r="P205" s="54">
        <f>ROUND(Spotify!U223,0)</f>
        <v>105</v>
      </c>
      <c r="Q205" s="54">
        <f>ROUND(Spotify!L223*100,0)</f>
        <v>77</v>
      </c>
      <c r="R205" s="54">
        <f>ROUND(Spotify!K223*100,0)</f>
        <v>73</v>
      </c>
      <c r="S205" s="54">
        <f>Spotify!N223</f>
        <v>-5.1139999999999999</v>
      </c>
      <c r="T205" s="54">
        <f>ROUND(Spotify!T223*100,0)</f>
        <v>51</v>
      </c>
      <c r="U205" s="54">
        <f>ROUND(Spotify!F223/60000,1)</f>
        <v>3.8</v>
      </c>
      <c r="V205" s="54">
        <f>ROUND(Spotify!Q223*100,0)</f>
        <v>14</v>
      </c>
      <c r="W205" s="54">
        <f>Spotify!G223</f>
        <v>80</v>
      </c>
    </row>
    <row r="206" spans="1:23" ht="15" x14ac:dyDescent="0.3">
      <c r="A206" s="87">
        <f t="shared" ca="1" si="15"/>
        <v>0.38400735979246592</v>
      </c>
      <c r="B206" s="93" t="s">
        <v>1</v>
      </c>
      <c r="C206" s="94" t="s">
        <v>26</v>
      </c>
      <c r="D206" s="95" t="s">
        <v>335</v>
      </c>
      <c r="E206" s="94" t="s">
        <v>336</v>
      </c>
      <c r="F206" s="94"/>
      <c r="G206" s="96">
        <v>1985</v>
      </c>
      <c r="H206" s="94" t="s">
        <v>69</v>
      </c>
      <c r="I206" s="94"/>
      <c r="J206" s="88" t="s">
        <v>1467</v>
      </c>
      <c r="K206" s="90" t="str">
        <f>CONCATENATE(SUBSTITUTE(Spotify!J224,",",";"),";",J206)</f>
        <v>;dance;jive</v>
      </c>
      <c r="L206" s="86"/>
      <c r="M206" s="54" t="str">
        <f>Spotify!B224</f>
        <v>Royals</v>
      </c>
      <c r="N206" s="92" t="str">
        <f>Spotify!D224</f>
        <v>Lorde</v>
      </c>
      <c r="O206" s="92">
        <f>Spotify!E224</f>
        <v>41544</v>
      </c>
      <c r="P206" s="54">
        <f>ROUND(Spotify!U224,0)</f>
        <v>85</v>
      </c>
      <c r="Q206" s="54">
        <f>ROUND(Spotify!L224*100,0)</f>
        <v>43</v>
      </c>
      <c r="R206" s="54">
        <f>ROUND(Spotify!K224*100,0)</f>
        <v>67</v>
      </c>
      <c r="S206" s="54">
        <f>Spotify!N224</f>
        <v>-9.5039999999999996</v>
      </c>
      <c r="T206" s="54">
        <f>ROUND(Spotify!T224*100,0)</f>
        <v>34</v>
      </c>
      <c r="U206" s="54">
        <f>ROUND(Spotify!F224/60000,1)</f>
        <v>3.2</v>
      </c>
      <c r="V206" s="54">
        <f>ROUND(Spotify!Q224*100,0)</f>
        <v>12</v>
      </c>
      <c r="W206" s="54">
        <f>Spotify!G224</f>
        <v>81</v>
      </c>
    </row>
    <row r="207" spans="1:23" ht="15" x14ac:dyDescent="0.3">
      <c r="A207" s="87">
        <f t="shared" ca="1" si="15"/>
        <v>0.89136516377241126</v>
      </c>
      <c r="B207" s="93"/>
      <c r="C207" s="94"/>
      <c r="D207" s="95" t="s">
        <v>655</v>
      </c>
      <c r="E207" s="97" t="s">
        <v>338</v>
      </c>
      <c r="F207" s="94"/>
      <c r="G207" s="96">
        <v>2017</v>
      </c>
      <c r="H207" s="94" t="s">
        <v>13</v>
      </c>
      <c r="I207" s="94"/>
      <c r="J207" s="88" t="s">
        <v>1414</v>
      </c>
      <c r="K207" s="90" t="str">
        <f>CONCATENATE(SUBSTITUTE(Spotify!J225,",",";"),";",J207)</f>
        <v>;alternative;acoustic;love;slow</v>
      </c>
      <c r="L207" s="86"/>
      <c r="M207" s="54" t="str">
        <f>Spotify!B225</f>
        <v>Sad Movies Make Me Cry</v>
      </c>
      <c r="N207" s="92" t="str">
        <f>Spotify!D225</f>
        <v>Sue Thompson</v>
      </c>
      <c r="O207" s="92">
        <f>Spotify!E225</f>
        <v>40885</v>
      </c>
      <c r="P207" s="54">
        <f>ROUND(Spotify!U225,0)</f>
        <v>107</v>
      </c>
      <c r="Q207" s="54">
        <f>ROUND(Spotify!L225*100,0)</f>
        <v>27</v>
      </c>
      <c r="R207" s="54">
        <f>ROUND(Spotify!K225*100,0)</f>
        <v>61</v>
      </c>
      <c r="S207" s="54">
        <f>Spotify!N225</f>
        <v>-10.071</v>
      </c>
      <c r="T207" s="54">
        <f>ROUND(Spotify!T225*100,0)</f>
        <v>61</v>
      </c>
      <c r="U207" s="54">
        <f>ROUND(Spotify!F225/60000,1)</f>
        <v>3.3</v>
      </c>
      <c r="V207" s="54">
        <f>ROUND(Spotify!Q225*100,0)</f>
        <v>89</v>
      </c>
      <c r="W207" s="54">
        <f>Spotify!G225</f>
        <v>41</v>
      </c>
    </row>
    <row r="208" spans="1:23" ht="15" x14ac:dyDescent="0.3">
      <c r="A208" s="87">
        <f t="shared" ca="1" si="15"/>
        <v>0.2486919952219101</v>
      </c>
      <c r="B208" s="99" t="s">
        <v>1</v>
      </c>
      <c r="C208" s="97" t="s">
        <v>46</v>
      </c>
      <c r="D208" s="89" t="s">
        <v>736</v>
      </c>
      <c r="E208" s="97" t="s">
        <v>340</v>
      </c>
      <c r="F208" s="97"/>
      <c r="G208" s="98">
        <v>1972</v>
      </c>
      <c r="H208" s="97" t="s">
        <v>12</v>
      </c>
      <c r="I208" s="97" t="s">
        <v>63</v>
      </c>
      <c r="J208" s="90" t="s">
        <v>1410</v>
      </c>
      <c r="K208" s="90" t="str">
        <f>CONCATENATE(SUBSTITUTE(Spotify!J226,",",";"),";",J208)</f>
        <v>;alternative;acoustic;oldies;retro;love</v>
      </c>
      <c r="L208" s="86"/>
      <c r="M208" s="54" t="str">
        <f>Spotify!B226</f>
        <v>Señorita</v>
      </c>
      <c r="N208" s="92" t="str">
        <f>Spotify!D226</f>
        <v>Shawn Mendes;Camila Cabello</v>
      </c>
      <c r="O208" s="92">
        <f>Spotify!E226</f>
        <v>43637</v>
      </c>
      <c r="P208" s="54">
        <f>ROUND(Spotify!U226,0)</f>
        <v>117</v>
      </c>
      <c r="Q208" s="54">
        <f>ROUND(Spotify!L226*100,0)</f>
        <v>54</v>
      </c>
      <c r="R208" s="54">
        <f>ROUND(Spotify!K226*100,0)</f>
        <v>76</v>
      </c>
      <c r="S208" s="54">
        <f>Spotify!N226</f>
        <v>-6.0389999999999997</v>
      </c>
      <c r="T208" s="54">
        <f>ROUND(Spotify!T226*100,0)</f>
        <v>75</v>
      </c>
      <c r="U208" s="54">
        <f>ROUND(Spotify!F226/60000,1)</f>
        <v>3.2</v>
      </c>
      <c r="V208" s="54">
        <f>ROUND(Spotify!Q226*100,0)</f>
        <v>4</v>
      </c>
      <c r="W208" s="54">
        <f>Spotify!G226</f>
        <v>80</v>
      </c>
    </row>
    <row r="209" spans="1:23" ht="15" x14ac:dyDescent="0.3">
      <c r="A209" s="87">
        <f t="shared" ca="1" si="15"/>
        <v>0.19275719326382867</v>
      </c>
      <c r="B209" s="99" t="s">
        <v>1</v>
      </c>
      <c r="C209" s="97" t="s">
        <v>93</v>
      </c>
      <c r="D209" s="89" t="s">
        <v>341</v>
      </c>
      <c r="E209" s="97" t="s">
        <v>342</v>
      </c>
      <c r="F209" s="97"/>
      <c r="G209" s="98">
        <v>1973</v>
      </c>
      <c r="H209" s="97" t="s">
        <v>13</v>
      </c>
      <c r="I209" s="97"/>
      <c r="J209" s="88" t="s">
        <v>1549</v>
      </c>
      <c r="K209" s="90" t="str">
        <f>CONCATENATE(SUBSTITUTE(Spotify!J227,",",";"),";",J209)</f>
        <v>funk;disco;oldies;retro;acoustic;groovy;waltz</v>
      </c>
      <c r="L209" s="86"/>
      <c r="M209" s="54" t="str">
        <f>Spotify!B227</f>
        <v>September</v>
      </c>
      <c r="N209" s="92" t="str">
        <f>Spotify!D227</f>
        <v>Earth, Wind &amp; Fire</v>
      </c>
      <c r="O209" s="92">
        <f>Spotify!E227</f>
        <v>28817</v>
      </c>
      <c r="P209" s="54">
        <f>ROUND(Spotify!U227,0)</f>
        <v>126</v>
      </c>
      <c r="Q209" s="54">
        <f>ROUND(Spotify!L227*100,0)</f>
        <v>83</v>
      </c>
      <c r="R209" s="54">
        <f>ROUND(Spotify!K227*100,0)</f>
        <v>70</v>
      </c>
      <c r="S209" s="54">
        <f>Spotify!N227</f>
        <v>-7.2640000000000002</v>
      </c>
      <c r="T209" s="54">
        <f>ROUND(Spotify!T227*100,0)</f>
        <v>98</v>
      </c>
      <c r="U209" s="54">
        <f>ROUND(Spotify!F227/60000,1)</f>
        <v>3.6</v>
      </c>
      <c r="V209" s="54">
        <f>ROUND(Spotify!Q227*100,0)</f>
        <v>17</v>
      </c>
      <c r="W209" s="54">
        <f>Spotify!G227</f>
        <v>76</v>
      </c>
    </row>
    <row r="210" spans="1:23" ht="15" x14ac:dyDescent="0.3">
      <c r="A210" s="87">
        <f t="shared" ca="1" si="15"/>
        <v>0.41172021967327632</v>
      </c>
      <c r="B210" s="93" t="s">
        <v>1</v>
      </c>
      <c r="C210" s="94" t="s">
        <v>46</v>
      </c>
      <c r="D210" s="95" t="s">
        <v>343</v>
      </c>
      <c r="E210" s="94" t="s">
        <v>344</v>
      </c>
      <c r="F210" s="94" t="s">
        <v>345</v>
      </c>
      <c r="G210" s="96">
        <v>1960</v>
      </c>
      <c r="H210" s="94" t="s">
        <v>346</v>
      </c>
      <c r="I210" s="94" t="s">
        <v>13</v>
      </c>
      <c r="J210" s="88" t="s">
        <v>1560</v>
      </c>
      <c r="K210" s="90" t="str">
        <f>CONCATENATE(SUBSTITUTE(Spotify!J228,",",";"),";",J210)</f>
        <v>garage rock;blues rock;rock;alternative rock;oldies;retro;love;acoustic;groovy;sweet</v>
      </c>
      <c r="L210" s="86"/>
      <c r="M210" s="54" t="str">
        <f>Spotify!B228</f>
        <v>Seven Nation Army</v>
      </c>
      <c r="N210" s="92" t="str">
        <f>Spotify!D228</f>
        <v>The White Stripes</v>
      </c>
      <c r="O210" s="92">
        <f>Spotify!E228</f>
        <v>37712</v>
      </c>
      <c r="P210" s="54">
        <f>ROUND(Spotify!U228,0)</f>
        <v>124</v>
      </c>
      <c r="Q210" s="54">
        <f>ROUND(Spotify!L228*100,0)</f>
        <v>45</v>
      </c>
      <c r="R210" s="54">
        <f>ROUND(Spotify!K228*100,0)</f>
        <v>74</v>
      </c>
      <c r="S210" s="54">
        <f>Spotify!N228</f>
        <v>-7.8070000000000004</v>
      </c>
      <c r="T210" s="54">
        <f>ROUND(Spotify!T228*100,0)</f>
        <v>28</v>
      </c>
      <c r="U210" s="54">
        <f>ROUND(Spotify!F228/60000,1)</f>
        <v>3.9</v>
      </c>
      <c r="V210" s="54">
        <f>ROUND(Spotify!Q228*100,0)</f>
        <v>0</v>
      </c>
      <c r="W210" s="54">
        <f>Spotify!G228</f>
        <v>86</v>
      </c>
    </row>
    <row r="211" spans="1:23" ht="15" x14ac:dyDescent="0.3">
      <c r="A211" s="87">
        <f t="shared" ca="1" si="15"/>
        <v>0.83726643354761043</v>
      </c>
      <c r="B211" s="93" t="s">
        <v>1</v>
      </c>
      <c r="C211" s="94"/>
      <c r="D211" s="100" t="s">
        <v>641</v>
      </c>
      <c r="E211" s="94" t="s">
        <v>642</v>
      </c>
      <c r="F211" s="94"/>
      <c r="G211" s="96">
        <v>1964</v>
      </c>
      <c r="H211" s="94" t="s">
        <v>12</v>
      </c>
      <c r="I211" s="94"/>
      <c r="J211" s="88" t="s">
        <v>1541</v>
      </c>
      <c r="K211" s="90" t="str">
        <f>CONCATENATE(SUBSTITUTE(Spotify!J229,",",";"),";",J211)</f>
        <v>soft rock;dance;fast;groovy;retro;oldies;love</v>
      </c>
      <c r="L211" s="86"/>
      <c r="M211" s="54" t="str">
        <f>Spotify!B229</f>
        <v>Shape Of My Heart</v>
      </c>
      <c r="N211" s="92" t="str">
        <f>Spotify!D229</f>
        <v>Sting</v>
      </c>
      <c r="O211" s="92">
        <f>Spotify!E229</f>
        <v>34029</v>
      </c>
      <c r="P211" s="54">
        <f>ROUND(Spotify!U229,0)</f>
        <v>84</v>
      </c>
      <c r="Q211" s="54">
        <f>ROUND(Spotify!L229*100,0)</f>
        <v>37</v>
      </c>
      <c r="R211" s="54">
        <f>ROUND(Spotify!K229*100,0)</f>
        <v>54</v>
      </c>
      <c r="S211" s="54">
        <f>Spotify!N229</f>
        <v>-10.08</v>
      </c>
      <c r="T211" s="54">
        <f>ROUND(Spotify!T229*100,0)</f>
        <v>24</v>
      </c>
      <c r="U211" s="54">
        <f>ROUND(Spotify!F229/60000,1)</f>
        <v>4.7</v>
      </c>
      <c r="V211" s="54">
        <f>ROUND(Spotify!Q229*100,0)</f>
        <v>69</v>
      </c>
      <c r="W211" s="54">
        <f>Spotify!G229</f>
        <v>79</v>
      </c>
    </row>
    <row r="212" spans="1:23" ht="15" x14ac:dyDescent="0.3">
      <c r="A212" s="87">
        <f t="shared" ca="1" si="15"/>
        <v>0.19416505136972162</v>
      </c>
      <c r="B212" s="93" t="s">
        <v>1</v>
      </c>
      <c r="C212" s="94"/>
      <c r="D212" s="100" t="s">
        <v>542</v>
      </c>
      <c r="E212" s="94" t="s">
        <v>543</v>
      </c>
      <c r="F212" s="94"/>
      <c r="G212" s="96">
        <v>1969</v>
      </c>
      <c r="H212" s="94" t="s">
        <v>59</v>
      </c>
      <c r="I212" s="94"/>
      <c r="J212" s="88" t="s">
        <v>1468</v>
      </c>
      <c r="K212" s="90" t="str">
        <f>CONCATENATE(SUBSTITUTE(Spotify!J230,",",";"),";",J212)</f>
        <v>latin pop;latin;jazz;dance;oldies;retro;love</v>
      </c>
      <c r="L212" s="86"/>
      <c r="M212" s="54" t="str">
        <f>Spotify!B230</f>
        <v>She Bangs - English Edit</v>
      </c>
      <c r="N212" s="92" t="str">
        <f>Spotify!D230</f>
        <v>Ricky Martin</v>
      </c>
      <c r="O212" s="92">
        <f>Spotify!E230</f>
        <v>43200</v>
      </c>
      <c r="P212" s="54">
        <f>ROUND(Spotify!U230,0)</f>
        <v>144</v>
      </c>
      <c r="Q212" s="54">
        <f>ROUND(Spotify!L230*100,0)</f>
        <v>94</v>
      </c>
      <c r="R212" s="54">
        <f>ROUND(Spotify!K230*100,0)</f>
        <v>64</v>
      </c>
      <c r="S212" s="54">
        <f>Spotify!N230</f>
        <v>-4.6449999999999996</v>
      </c>
      <c r="T212" s="54">
        <f>ROUND(Spotify!T230*100,0)</f>
        <v>91</v>
      </c>
      <c r="U212" s="54">
        <f>ROUND(Spotify!F230/60000,1)</f>
        <v>4</v>
      </c>
      <c r="V212" s="54">
        <f>ROUND(Spotify!Q230*100,0)</f>
        <v>0</v>
      </c>
      <c r="W212" s="54">
        <f>Spotify!G230</f>
        <v>38</v>
      </c>
    </row>
    <row r="213" spans="1:23" ht="15" x14ac:dyDescent="0.3">
      <c r="A213" s="87">
        <f t="shared" ca="1" si="15"/>
        <v>0.72034530481448633</v>
      </c>
      <c r="B213" s="93"/>
      <c r="C213" s="94" t="s">
        <v>93</v>
      </c>
      <c r="D213" s="95" t="s">
        <v>347</v>
      </c>
      <c r="E213" s="94" t="s">
        <v>348</v>
      </c>
      <c r="F213" s="94"/>
      <c r="G213" s="96">
        <v>2011</v>
      </c>
      <c r="H213" s="94" t="s">
        <v>13</v>
      </c>
      <c r="I213" s="94"/>
      <c r="J213" s="88" t="s">
        <v>1376</v>
      </c>
      <c r="K213" s="90" t="str">
        <f>CONCATENATE(SUBSTITUTE(Spotify!J231,",",";"),";",J213)</f>
        <v>pop;dance;groovy;love</v>
      </c>
      <c r="L213" s="86"/>
      <c r="M213" s="54" t="str">
        <f>Spotify!B231</f>
        <v>She Will Be Loved</v>
      </c>
      <c r="N213" s="92" t="str">
        <f>Spotify!D231</f>
        <v>Maroon 5</v>
      </c>
      <c r="O213" s="92">
        <f>Spotify!E231</f>
        <v>37432</v>
      </c>
      <c r="P213" s="54">
        <f>ROUND(Spotify!U231,0)</f>
        <v>102</v>
      </c>
      <c r="Q213" s="54">
        <f>ROUND(Spotify!L231*100,0)</f>
        <v>71</v>
      </c>
      <c r="R213" s="54">
        <f>ROUND(Spotify!K231*100,0)</f>
        <v>71</v>
      </c>
      <c r="S213" s="54">
        <f>Spotify!N231</f>
        <v>-5.5119999999999996</v>
      </c>
      <c r="T213" s="54">
        <f>ROUND(Spotify!T231*100,0)</f>
        <v>54</v>
      </c>
      <c r="U213" s="54">
        <f>ROUND(Spotify!F231/60000,1)</f>
        <v>4.3</v>
      </c>
      <c r="V213" s="54">
        <f>ROUND(Spotify!Q231*100,0)</f>
        <v>6</v>
      </c>
      <c r="W213" s="54">
        <f>Spotify!G231</f>
        <v>75</v>
      </c>
    </row>
    <row r="214" spans="1:23" s="53" customFormat="1" ht="15" x14ac:dyDescent="0.3">
      <c r="A214" s="87">
        <f t="shared" ca="1" si="15"/>
        <v>0.95973208294046763</v>
      </c>
      <c r="B214" s="93"/>
      <c r="C214" s="94" t="s">
        <v>46</v>
      </c>
      <c r="D214" s="95" t="s">
        <v>349</v>
      </c>
      <c r="E214" s="94" t="s">
        <v>350</v>
      </c>
      <c r="F214" s="94"/>
      <c r="G214" s="96">
        <v>1962</v>
      </c>
      <c r="H214" s="94" t="s">
        <v>351</v>
      </c>
      <c r="I214" s="94"/>
      <c r="J214" s="88" t="s">
        <v>1469</v>
      </c>
      <c r="K214" s="90" t="str">
        <f>CONCATENATE(SUBSTITUTE(Spotify!J232,",",";"),";",J214)</f>
        <v>;jazz;dance;groovy;retro;oldies</v>
      </c>
      <c r="L214" s="86"/>
      <c r="M214" s="54" t="str">
        <f>Spotify!B232</f>
        <v>Shotgun</v>
      </c>
      <c r="N214" s="92" t="str">
        <f>Spotify!D232</f>
        <v>George Ezra</v>
      </c>
      <c r="O214" s="92">
        <f>Spotify!E232</f>
        <v>43182</v>
      </c>
      <c r="P214" s="54">
        <f>ROUND(Spotify!U232,0)</f>
        <v>116</v>
      </c>
      <c r="Q214" s="54">
        <f>ROUND(Spotify!L232*100,0)</f>
        <v>74</v>
      </c>
      <c r="R214" s="54">
        <f>ROUND(Spotify!K232*100,0)</f>
        <v>67</v>
      </c>
      <c r="S214" s="54">
        <f>Spotify!N232</f>
        <v>-4.7329999999999997</v>
      </c>
      <c r="T214" s="54">
        <f>ROUND(Spotify!T232*100,0)</f>
        <v>75</v>
      </c>
      <c r="U214" s="54">
        <f>ROUND(Spotify!F232/60000,1)</f>
        <v>3.4</v>
      </c>
      <c r="V214" s="54">
        <f>ROUND(Spotify!Q232*100,0)</f>
        <v>29</v>
      </c>
      <c r="W214" s="54">
        <f>Spotify!G232</f>
        <v>78</v>
      </c>
    </row>
    <row r="215" spans="1:23" ht="15" x14ac:dyDescent="0.3">
      <c r="A215" s="87">
        <f t="shared" ca="1" si="15"/>
        <v>5.9838446654832178E-2</v>
      </c>
      <c r="B215" s="93"/>
      <c r="C215" s="94" t="s">
        <v>46</v>
      </c>
      <c r="D215" s="95" t="s">
        <v>352</v>
      </c>
      <c r="E215" s="94" t="s">
        <v>65</v>
      </c>
      <c r="F215" s="94"/>
      <c r="G215" s="96">
        <v>1956</v>
      </c>
      <c r="H215" s="94" t="s">
        <v>20</v>
      </c>
      <c r="I215" s="94"/>
      <c r="J215" s="88" t="s">
        <v>1534</v>
      </c>
      <c r="K215" s="90" t="str">
        <f>CONCATENATE(SUBSTITUTE(Spotify!J233,",",";"),";",J215)</f>
        <v>;oldies;retro;love;dance;acoustic;waltz;sweet</v>
      </c>
      <c r="L215" s="86"/>
      <c r="M215" s="54" t="str">
        <f>Spotify!B233</f>
        <v>Simply the Best (From "Schitt's Creek")</v>
      </c>
      <c r="N215" s="92" t="str">
        <f>Spotify!D233</f>
        <v>Noah Reid</v>
      </c>
      <c r="O215" s="92">
        <f>Spotify!E233</f>
        <v>43159</v>
      </c>
      <c r="P215" s="54">
        <f>ROUND(Spotify!U233,0)</f>
        <v>85</v>
      </c>
      <c r="Q215" s="54">
        <f>ROUND(Spotify!L233*100,0)</f>
        <v>14</v>
      </c>
      <c r="R215" s="54">
        <f>ROUND(Spotify!K233*100,0)</f>
        <v>44</v>
      </c>
      <c r="S215" s="54">
        <f>Spotify!N233</f>
        <v>-12.135999999999999</v>
      </c>
      <c r="T215" s="54">
        <f>ROUND(Spotify!T233*100,0)</f>
        <v>12</v>
      </c>
      <c r="U215" s="54">
        <f>ROUND(Spotify!F233/60000,1)</f>
        <v>3</v>
      </c>
      <c r="V215" s="54">
        <f>ROUND(Spotify!Q233*100,0)</f>
        <v>93</v>
      </c>
      <c r="W215" s="54">
        <f>Spotify!G233</f>
        <v>52</v>
      </c>
    </row>
    <row r="216" spans="1:23" ht="15" x14ac:dyDescent="0.3">
      <c r="A216" s="87">
        <f t="shared" ca="1" si="15"/>
        <v>0.84752924934378526</v>
      </c>
      <c r="B216" s="93" t="s">
        <v>1</v>
      </c>
      <c r="C216" s="94"/>
      <c r="D216" s="95" t="s">
        <v>1333</v>
      </c>
      <c r="E216" s="94" t="s">
        <v>1334</v>
      </c>
      <c r="F216" s="94"/>
      <c r="G216" s="96">
        <v>1969</v>
      </c>
      <c r="H216" s="94" t="s">
        <v>13</v>
      </c>
      <c r="I216" s="94"/>
      <c r="J216" s="88" t="s">
        <v>1531</v>
      </c>
      <c r="K216" s="90" t="str">
        <f>CONCATENATE(SUBSTITUTE(Spotify!J234,",",";"),";",J216)</f>
        <v>soft pop;oldies;retro;dance;groovy;sweet</v>
      </c>
      <c r="L216" s="86"/>
      <c r="M216" s="54" t="str">
        <f>Spotify!B234</f>
        <v>Skyfall</v>
      </c>
      <c r="N216" s="92" t="str">
        <f>Spotify!D234</f>
        <v>Adele</v>
      </c>
      <c r="O216" s="92">
        <f>Spotify!E234</f>
        <v>41186</v>
      </c>
      <c r="P216" s="54">
        <f>ROUND(Spotify!U234,0)</f>
        <v>76</v>
      </c>
      <c r="Q216" s="54">
        <f>ROUND(Spotify!L234*100,0)</f>
        <v>55</v>
      </c>
      <c r="R216" s="54">
        <f>ROUND(Spotify!K234*100,0)</f>
        <v>35</v>
      </c>
      <c r="S216" s="54">
        <f>Spotify!N234</f>
        <v>-6.8639999999999999</v>
      </c>
      <c r="T216" s="54">
        <f>ROUND(Spotify!T234*100,0)</f>
        <v>8</v>
      </c>
      <c r="U216" s="54">
        <f>ROUND(Spotify!F234/60000,1)</f>
        <v>4.8</v>
      </c>
      <c r="V216" s="54">
        <f>ROUND(Spotify!Q234*100,0)</f>
        <v>42</v>
      </c>
      <c r="W216" s="54">
        <f>Spotify!G234</f>
        <v>86</v>
      </c>
    </row>
    <row r="217" spans="1:23" ht="15" x14ac:dyDescent="0.3">
      <c r="A217" s="87">
        <f t="shared" ca="1" si="15"/>
        <v>0.20195304710510487</v>
      </c>
      <c r="B217" s="93" t="s">
        <v>1</v>
      </c>
      <c r="C217" s="94"/>
      <c r="D217" s="95" t="s">
        <v>644</v>
      </c>
      <c r="E217" s="94" t="s">
        <v>645</v>
      </c>
      <c r="F217" s="94"/>
      <c r="G217" s="96">
        <v>1978</v>
      </c>
      <c r="H217" s="94" t="s">
        <v>69</v>
      </c>
      <c r="I217" s="94" t="s">
        <v>76</v>
      </c>
      <c r="J217" s="88" t="s">
        <v>1368</v>
      </c>
      <c r="K217" s="90" t="str">
        <f>CONCATENATE(SUBSTITUTE(Spotify!J235,",",";"),";",J217)</f>
        <v>grunge;rock;oldies;retro</v>
      </c>
      <c r="L217" s="86"/>
      <c r="M217" s="54" t="str">
        <f>Spotify!B235</f>
        <v>Smells Like Teen Spirit</v>
      </c>
      <c r="N217" s="92" t="str">
        <f>Spotify!D235</f>
        <v>Nirvana</v>
      </c>
      <c r="O217" s="92">
        <f>Spotify!E235</f>
        <v>33507</v>
      </c>
      <c r="P217" s="54">
        <f>ROUND(Spotify!U235,0)</f>
        <v>117</v>
      </c>
      <c r="Q217" s="54">
        <f>ROUND(Spotify!L235*100,0)</f>
        <v>91</v>
      </c>
      <c r="R217" s="54">
        <f>ROUND(Spotify!K235*100,0)</f>
        <v>50</v>
      </c>
      <c r="S217" s="54">
        <f>Spotify!N235</f>
        <v>-4.556</v>
      </c>
      <c r="T217" s="54">
        <f>ROUND(Spotify!T235*100,0)</f>
        <v>72</v>
      </c>
      <c r="U217" s="54">
        <f>ROUND(Spotify!F235/60000,1)</f>
        <v>5</v>
      </c>
      <c r="V217" s="54">
        <f>ROUND(Spotify!Q235*100,0)</f>
        <v>0</v>
      </c>
      <c r="W217" s="54">
        <f>Spotify!G235</f>
        <v>83</v>
      </c>
    </row>
    <row r="218" spans="1:23" ht="15" x14ac:dyDescent="0.3">
      <c r="A218" s="87">
        <f t="shared" ca="1" si="15"/>
        <v>0.6961713862262825</v>
      </c>
      <c r="B218" s="93" t="s">
        <v>1</v>
      </c>
      <c r="C218" s="94" t="s">
        <v>46</v>
      </c>
      <c r="D218" s="95" t="s">
        <v>353</v>
      </c>
      <c r="E218" s="94" t="s">
        <v>234</v>
      </c>
      <c r="F218" s="94"/>
      <c r="G218" s="96">
        <v>2010</v>
      </c>
      <c r="H218" s="94" t="s">
        <v>12</v>
      </c>
      <c r="I218" s="94" t="s">
        <v>354</v>
      </c>
      <c r="J218" s="88" t="s">
        <v>1554</v>
      </c>
      <c r="K218" s="90" t="str">
        <f>CONCATENATE(SUBSTITUTE(Spotify!J236,",",";"),";",J218)</f>
        <v>;dance;fast;love;groovy;sweet</v>
      </c>
      <c r="L218" s="86"/>
      <c r="M218" s="54" t="str">
        <f>Spotify!B236</f>
        <v>Smooth (feat. Rob Thomas)</v>
      </c>
      <c r="N218" s="92" t="str">
        <f>Spotify!D236</f>
        <v>Santana;Rob Thomas</v>
      </c>
      <c r="O218" s="92">
        <f>Spotify!E236</f>
        <v>36326</v>
      </c>
      <c r="P218" s="54">
        <f>ROUND(Spotify!U236,0)</f>
        <v>116</v>
      </c>
      <c r="Q218" s="54">
        <f>ROUND(Spotify!L236*100,0)</f>
        <v>92</v>
      </c>
      <c r="R218" s="54">
        <f>ROUND(Spotify!K236*100,0)</f>
        <v>61</v>
      </c>
      <c r="S218" s="54">
        <f>Spotify!N236</f>
        <v>-3.9079999999999999</v>
      </c>
      <c r="T218" s="54">
        <f>ROUND(Spotify!T236*100,0)</f>
        <v>96</v>
      </c>
      <c r="U218" s="54">
        <f>ROUND(Spotify!F236/60000,1)</f>
        <v>4.9000000000000004</v>
      </c>
      <c r="V218" s="54">
        <f>ROUND(Spotify!Q236*100,0)</f>
        <v>16</v>
      </c>
      <c r="W218" s="54">
        <f>Spotify!G236</f>
        <v>73</v>
      </c>
    </row>
    <row r="219" spans="1:23" ht="15" x14ac:dyDescent="0.3">
      <c r="A219" s="87">
        <f t="shared" ca="1" si="15"/>
        <v>0.64286247123836315</v>
      </c>
      <c r="B219" s="93"/>
      <c r="C219" s="94" t="s">
        <v>93</v>
      </c>
      <c r="D219" s="95" t="s">
        <v>355</v>
      </c>
      <c r="E219" s="94" t="s">
        <v>356</v>
      </c>
      <c r="F219" s="94" t="s">
        <v>357</v>
      </c>
      <c r="G219" s="96">
        <v>1962</v>
      </c>
      <c r="H219" s="94" t="s">
        <v>63</v>
      </c>
      <c r="I219" s="94"/>
      <c r="J219" s="88" t="s">
        <v>1568</v>
      </c>
      <c r="K219" s="90" t="str">
        <f>CONCATENATE(SUBSTITUTE(Spotify!J237,",",";"),";",J219)</f>
        <v>;acoustic;oldies;retro;love;dance;sweet;folk</v>
      </c>
      <c r="L219" s="86"/>
      <c r="M219" s="54" t="str">
        <f>Spotify!B237</f>
        <v>Smooth Operator - Single Version</v>
      </c>
      <c r="N219" s="92" t="str">
        <f>Spotify!D237</f>
        <v>Sade</v>
      </c>
      <c r="O219" s="92">
        <f>Spotify!E237</f>
        <v>34638</v>
      </c>
      <c r="P219" s="54">
        <f>ROUND(Spotify!U237,0)</f>
        <v>119</v>
      </c>
      <c r="Q219" s="54">
        <f>ROUND(Spotify!L237*100,0)</f>
        <v>58</v>
      </c>
      <c r="R219" s="54">
        <f>ROUND(Spotify!K237*100,0)</f>
        <v>73</v>
      </c>
      <c r="S219" s="54">
        <f>Spotify!N237</f>
        <v>-6.6189999999999998</v>
      </c>
      <c r="T219" s="54">
        <f>ROUND(Spotify!T237*100,0)</f>
        <v>96</v>
      </c>
      <c r="U219" s="54">
        <f>ROUND(Spotify!F237/60000,1)</f>
        <v>4.3</v>
      </c>
      <c r="V219" s="54">
        <f>ROUND(Spotify!Q237*100,0)</f>
        <v>24</v>
      </c>
      <c r="W219" s="54">
        <f>Spotify!G237</f>
        <v>84</v>
      </c>
    </row>
    <row r="220" spans="1:23" ht="15" x14ac:dyDescent="0.3">
      <c r="A220" s="87">
        <f t="shared" ca="1" si="15"/>
        <v>0.99706682403014923</v>
      </c>
      <c r="B220" s="93"/>
      <c r="C220" s="94" t="s">
        <v>94</v>
      </c>
      <c r="D220" s="95" t="s">
        <v>358</v>
      </c>
      <c r="E220" s="94" t="s">
        <v>16</v>
      </c>
      <c r="F220" s="94"/>
      <c r="G220" s="96">
        <v>2008</v>
      </c>
      <c r="H220" s="94" t="s">
        <v>12</v>
      </c>
      <c r="I220" s="94" t="s">
        <v>13</v>
      </c>
      <c r="J220" s="88" t="s">
        <v>1472</v>
      </c>
      <c r="K220" s="90" t="str">
        <f>CONCATENATE(SUBSTITUTE(Spotify!J238,",",";"),";",J220)</f>
        <v>funk rock;alternative rock;rock;acoustic;dance;groovy</v>
      </c>
      <c r="L220" s="86"/>
      <c r="M220" s="54" t="str">
        <f>Spotify!B238</f>
        <v>Snow (Hey Oh)</v>
      </c>
      <c r="N220" s="92" t="str">
        <f>Spotify!D238</f>
        <v>Red Hot Chili Peppers</v>
      </c>
      <c r="O220" s="92">
        <f>Spotify!E238</f>
        <v>38846</v>
      </c>
      <c r="P220" s="54">
        <f>ROUND(Spotify!U238,0)</f>
        <v>105</v>
      </c>
      <c r="Q220" s="54">
        <f>ROUND(Spotify!L238*100,0)</f>
        <v>90</v>
      </c>
      <c r="R220" s="54">
        <f>ROUND(Spotify!K238*100,0)</f>
        <v>43</v>
      </c>
      <c r="S220" s="54">
        <f>Spotify!N238</f>
        <v>-3.6739999999999999</v>
      </c>
      <c r="T220" s="54">
        <f>ROUND(Spotify!T238*100,0)</f>
        <v>60</v>
      </c>
      <c r="U220" s="54">
        <f>ROUND(Spotify!F238/60000,1)</f>
        <v>5.6</v>
      </c>
      <c r="V220" s="54">
        <f>ROUND(Spotify!Q238*100,0)</f>
        <v>12</v>
      </c>
      <c r="W220" s="54">
        <f>Spotify!G238</f>
        <v>84</v>
      </c>
    </row>
    <row r="221" spans="1:23" ht="15" x14ac:dyDescent="0.3">
      <c r="A221" s="87">
        <f t="shared" ca="1" si="15"/>
        <v>3.3392341624888577E-2</v>
      </c>
      <c r="B221" s="93" t="s">
        <v>1</v>
      </c>
      <c r="C221" s="94" t="s">
        <v>361</v>
      </c>
      <c r="D221" s="95" t="s">
        <v>362</v>
      </c>
      <c r="E221" s="94" t="s">
        <v>363</v>
      </c>
      <c r="F221" s="94"/>
      <c r="G221" s="96">
        <v>1972</v>
      </c>
      <c r="H221" s="94" t="s">
        <v>12</v>
      </c>
      <c r="I221" s="94" t="s">
        <v>261</v>
      </c>
      <c r="J221" s="88" t="s">
        <v>1473</v>
      </c>
      <c r="K221" s="90" t="str">
        <f>CONCATENATE(SUBSTITUTE(Spotify!J240,",",";"),";",J221)</f>
        <v>soft pop;slow;dance;love;acoustic;retro;oldies</v>
      </c>
      <c r="L221" s="86"/>
      <c r="M221" s="54" t="str">
        <f>Spotify!B240</f>
        <v>Someone Like You</v>
      </c>
      <c r="N221" s="92" t="str">
        <f>Spotify!D240</f>
        <v>Adele</v>
      </c>
      <c r="O221" s="92">
        <f>Spotify!E240</f>
        <v>40567</v>
      </c>
      <c r="P221" s="54">
        <f>ROUND(Spotify!U240,0)</f>
        <v>135</v>
      </c>
      <c r="Q221" s="54">
        <f>ROUND(Spotify!L240*100,0)</f>
        <v>32</v>
      </c>
      <c r="R221" s="54">
        <f>ROUND(Spotify!K240*100,0)</f>
        <v>56</v>
      </c>
      <c r="S221" s="54">
        <f>Spotify!N240</f>
        <v>-8.2509999999999994</v>
      </c>
      <c r="T221" s="54">
        <f>ROUND(Spotify!T240*100,0)</f>
        <v>29</v>
      </c>
      <c r="U221" s="54">
        <f>ROUND(Spotify!F240/60000,1)</f>
        <v>4.8</v>
      </c>
      <c r="V221" s="54">
        <f>ROUND(Spotify!Q240*100,0)</f>
        <v>89</v>
      </c>
      <c r="W221" s="54">
        <f>Spotify!G240</f>
        <v>80</v>
      </c>
    </row>
    <row r="222" spans="1:23" ht="15" x14ac:dyDescent="0.3">
      <c r="A222" s="87">
        <f t="shared" ca="1" si="15"/>
        <v>0.34966590203733472</v>
      </c>
      <c r="B222" s="93" t="s">
        <v>1</v>
      </c>
      <c r="C222" s="94" t="s">
        <v>46</v>
      </c>
      <c r="D222" s="95" t="s">
        <v>617</v>
      </c>
      <c r="E222" s="94" t="s">
        <v>618</v>
      </c>
      <c r="F222" s="94"/>
      <c r="G222" s="96">
        <v>2005</v>
      </c>
      <c r="H222" s="94" t="s">
        <v>12</v>
      </c>
      <c r="I222" s="94" t="s">
        <v>49</v>
      </c>
      <c r="J222" s="88" t="s">
        <v>1397</v>
      </c>
      <c r="K222" s="90" t="str">
        <f>CONCATENATE(SUBSTITUTE(Spotify!J241,",",";"),";",J222)</f>
        <v>christmas;big band;adult standards;swing music;jazz;vocal jazz;alternative;groovy;dance</v>
      </c>
      <c r="L222" s="86"/>
      <c r="M222" s="54" t="str">
        <f>Spotify!B241</f>
        <v>Somethin' Stupid</v>
      </c>
      <c r="N222" s="92" t="str">
        <f>Spotify!D241</f>
        <v>Frank Sinatra;Nancy Sinatra</v>
      </c>
      <c r="O222" s="92" t="str">
        <f>Spotify!E241</f>
        <v>1967-08</v>
      </c>
      <c r="P222" s="54">
        <f>ROUND(Spotify!U241,0)</f>
        <v>207</v>
      </c>
      <c r="Q222" s="54">
        <f>ROUND(Spotify!L241*100,0)</f>
        <v>34</v>
      </c>
      <c r="R222" s="54">
        <f>ROUND(Spotify!K241*100,0)</f>
        <v>26</v>
      </c>
      <c r="S222" s="54">
        <f>Spotify!N241</f>
        <v>-12.901999999999999</v>
      </c>
      <c r="T222" s="54">
        <f>ROUND(Spotify!T241*100,0)</f>
        <v>54</v>
      </c>
      <c r="U222" s="54">
        <f>ROUND(Spotify!F241/60000,1)</f>
        <v>2.7</v>
      </c>
      <c r="V222" s="54">
        <f>ROUND(Spotify!Q241*100,0)</f>
        <v>74</v>
      </c>
      <c r="W222" s="54">
        <f>Spotify!G241</f>
        <v>79</v>
      </c>
    </row>
    <row r="223" spans="1:23" ht="15" x14ac:dyDescent="0.3">
      <c r="A223" s="87">
        <f t="shared" ca="1" si="15"/>
        <v>0.13328195015241173</v>
      </c>
      <c r="B223" s="93"/>
      <c r="C223" s="94" t="s">
        <v>55</v>
      </c>
      <c r="D223" s="95" t="s">
        <v>364</v>
      </c>
      <c r="E223" s="94" t="s">
        <v>228</v>
      </c>
      <c r="F223" s="94"/>
      <c r="G223" s="96">
        <v>2011</v>
      </c>
      <c r="H223" s="94" t="s">
        <v>13</v>
      </c>
      <c r="I223" s="94"/>
      <c r="J223" s="88" t="s">
        <v>1474</v>
      </c>
      <c r="K223" s="90" t="str">
        <f>CONCATENATE(SUBSTITUTE(Spotify!J242,",",";"),";",J223)</f>
        <v>;dance;groove;love</v>
      </c>
      <c r="L223" s="86"/>
      <c r="M223" s="54" t="str">
        <f>Spotify!B242</f>
        <v>Son of a Preacher Man</v>
      </c>
      <c r="N223" s="92" t="str">
        <f>Spotify!D242</f>
        <v>Dusty Springfield</v>
      </c>
      <c r="O223" s="92">
        <f>Spotify!E242</f>
        <v>25293</v>
      </c>
      <c r="P223" s="54">
        <f>ROUND(Spotify!U242,0)</f>
        <v>182</v>
      </c>
      <c r="Q223" s="54">
        <f>ROUND(Spotify!L242*100,0)</f>
        <v>50</v>
      </c>
      <c r="R223" s="54">
        <f>ROUND(Spotify!K242*100,0)</f>
        <v>40</v>
      </c>
      <c r="S223" s="54">
        <f>Spotify!N242</f>
        <v>-10.682</v>
      </c>
      <c r="T223" s="54">
        <f>ROUND(Spotify!T242*100,0)</f>
        <v>82</v>
      </c>
      <c r="U223" s="54">
        <f>ROUND(Spotify!F242/60000,1)</f>
        <v>2.5</v>
      </c>
      <c r="V223" s="54">
        <f>ROUND(Spotify!Q242*100,0)</f>
        <v>39</v>
      </c>
      <c r="W223" s="54">
        <f>Spotify!G242</f>
        <v>68</v>
      </c>
    </row>
    <row r="224" spans="1:23" ht="15" x14ac:dyDescent="0.3">
      <c r="A224" s="87">
        <f t="shared" ca="1" si="15"/>
        <v>0.93021244895825994</v>
      </c>
      <c r="B224" s="93"/>
      <c r="C224" s="94" t="s">
        <v>21</v>
      </c>
      <c r="D224" s="95" t="s">
        <v>623</v>
      </c>
      <c r="E224" s="94" t="s">
        <v>624</v>
      </c>
      <c r="F224" s="94"/>
      <c r="G224" s="96">
        <v>2013</v>
      </c>
      <c r="H224" s="94" t="s">
        <v>13</v>
      </c>
      <c r="I224" s="94"/>
      <c r="J224" s="88" t="s">
        <v>1548</v>
      </c>
      <c r="K224" s="90" t="str">
        <f>CONCATENATE(SUBSTITUTE(Spotify!J243,",",";"),";",J224)</f>
        <v>;groove;dance</v>
      </c>
      <c r="L224" s="86"/>
      <c r="M224" s="54" t="str">
        <f>Spotify!B243</f>
        <v>SOS</v>
      </c>
      <c r="N224" s="92" t="str">
        <f>Spotify!D243</f>
        <v>ABBA</v>
      </c>
      <c r="O224" s="92">
        <f>Spotify!E243</f>
        <v>39448</v>
      </c>
      <c r="P224" s="54">
        <f>ROUND(Spotify!U243,0)</f>
        <v>124</v>
      </c>
      <c r="Q224" s="54">
        <f>ROUND(Spotify!L243*100,0)</f>
        <v>72</v>
      </c>
      <c r="R224" s="54">
        <f>ROUND(Spotify!K243*100,0)</f>
        <v>39</v>
      </c>
      <c r="S224" s="54">
        <f>Spotify!N243</f>
        <v>-4.7729999999999997</v>
      </c>
      <c r="T224" s="54">
        <f>ROUND(Spotify!T243*100,0)</f>
        <v>50</v>
      </c>
      <c r="U224" s="54">
        <f>ROUND(Spotify!F243/60000,1)</f>
        <v>3.4</v>
      </c>
      <c r="V224" s="54">
        <f>ROUND(Spotify!Q243*100,0)</f>
        <v>6</v>
      </c>
      <c r="W224" s="54">
        <f>Spotify!G243</f>
        <v>67</v>
      </c>
    </row>
    <row r="225" spans="1:23" ht="15" x14ac:dyDescent="0.3">
      <c r="A225" s="87">
        <f t="shared" ca="1" si="15"/>
        <v>1.9066240061903494E-3</v>
      </c>
      <c r="B225" s="93" t="s">
        <v>1</v>
      </c>
      <c r="C225" s="94" t="s">
        <v>93</v>
      </c>
      <c r="D225" s="95" t="s">
        <v>365</v>
      </c>
      <c r="E225" s="94" t="s">
        <v>366</v>
      </c>
      <c r="F225" s="94"/>
      <c r="G225" s="96">
        <v>1961</v>
      </c>
      <c r="H225" s="94" t="s">
        <v>13</v>
      </c>
      <c r="I225" s="94" t="s">
        <v>196</v>
      </c>
      <c r="J225" s="88" t="s">
        <v>1533</v>
      </c>
      <c r="K225" s="90" t="str">
        <f>CONCATENATE(SUBSTITUTE(Spotify!J244,",",";"),";",J225)</f>
        <v>bluegrass;newgrass;folk;americana;oldies;retro;groovy;acoustic;sweet</v>
      </c>
      <c r="L225" s="86"/>
      <c r="M225" s="54" t="str">
        <f>Spotify!B244</f>
        <v>Spit On A Stranger</v>
      </c>
      <c r="N225" s="92" t="str">
        <f>Spotify!D244</f>
        <v>Nickel Creek</v>
      </c>
      <c r="O225" s="92">
        <f>Spotify!E244</f>
        <v>2002</v>
      </c>
      <c r="P225" s="54">
        <f>ROUND(Spotify!U244,0)</f>
        <v>156</v>
      </c>
      <c r="Q225" s="54">
        <f>ROUND(Spotify!L244*100,0)</f>
        <v>34</v>
      </c>
      <c r="R225" s="54">
        <f>ROUND(Spotify!K244*100,0)</f>
        <v>53</v>
      </c>
      <c r="S225" s="54">
        <f>Spotify!N244</f>
        <v>-8.9359999999999999</v>
      </c>
      <c r="T225" s="54">
        <f>ROUND(Spotify!T244*100,0)</f>
        <v>60</v>
      </c>
      <c r="U225" s="54">
        <f>ROUND(Spotify!F244/60000,1)</f>
        <v>2.6</v>
      </c>
      <c r="V225" s="54">
        <f>ROUND(Spotify!Q244*100,0)</f>
        <v>48</v>
      </c>
      <c r="W225" s="54">
        <f>Spotify!G244</f>
        <v>31</v>
      </c>
    </row>
    <row r="226" spans="1:23" ht="15" x14ac:dyDescent="0.3">
      <c r="A226" s="87"/>
      <c r="B226" s="93"/>
      <c r="C226" s="94"/>
      <c r="D226" s="95" t="s">
        <v>1771</v>
      </c>
      <c r="E226" s="94" t="s">
        <v>1701</v>
      </c>
      <c r="F226" s="94"/>
      <c r="G226" s="96">
        <v>2017</v>
      </c>
      <c r="H226" s="94" t="s">
        <v>203</v>
      </c>
      <c r="I226" s="94"/>
      <c r="J226" s="88"/>
      <c r="K226" s="90" t="str">
        <f>CONCATENATE(SUBSTITUTE(Spotify!J245,",",";"),";",J226)</f>
        <v>doo-wop;</v>
      </c>
      <c r="L226" s="86"/>
      <c r="M226" s="54" t="str">
        <f>Spotify!B245</f>
        <v>Stand By Me</v>
      </c>
      <c r="N226" s="92" t="str">
        <f>Spotify!D245</f>
        <v>Ben E. King</v>
      </c>
      <c r="O226" s="92">
        <f>Spotify!E245</f>
        <v>22878</v>
      </c>
      <c r="P226" s="54">
        <f>ROUND(Spotify!U245,0)</f>
        <v>118</v>
      </c>
      <c r="Q226" s="54">
        <f>ROUND(Spotify!L245*100,0)</f>
        <v>31</v>
      </c>
      <c r="R226" s="54">
        <f>ROUND(Spotify!K245*100,0)</f>
        <v>65</v>
      </c>
      <c r="S226" s="54">
        <f>Spotify!N245</f>
        <v>-9.4429999999999996</v>
      </c>
      <c r="T226" s="54">
        <f>ROUND(Spotify!T245*100,0)</f>
        <v>61</v>
      </c>
      <c r="U226" s="54">
        <f>ROUND(Spotify!F245/60000,1)</f>
        <v>3</v>
      </c>
      <c r="V226" s="54">
        <f>ROUND(Spotify!Q245*100,0)</f>
        <v>57</v>
      </c>
      <c r="W226" s="54">
        <f>Spotify!G245</f>
        <v>81</v>
      </c>
    </row>
    <row r="227" spans="1:23" ht="15" x14ac:dyDescent="0.3">
      <c r="A227" s="87">
        <f ca="1">RAND()</f>
        <v>0.23985023067803213</v>
      </c>
      <c r="B227" s="93"/>
      <c r="C227" s="94" t="s">
        <v>77</v>
      </c>
      <c r="D227" s="100" t="s">
        <v>559</v>
      </c>
      <c r="E227" s="94" t="s">
        <v>560</v>
      </c>
      <c r="F227" s="94"/>
      <c r="G227" s="96">
        <v>1978</v>
      </c>
      <c r="H227" s="94" t="s">
        <v>118</v>
      </c>
      <c r="I227" s="94" t="s">
        <v>69</v>
      </c>
      <c r="J227" s="88" t="s">
        <v>1475</v>
      </c>
      <c r="K227" s="90" t="str">
        <f>CONCATENATE(SUBSTITUTE(Spotify!J246,",",";"),";",J227)</f>
        <v>reggae;groovy;fast;dance;oldies;retro</v>
      </c>
      <c r="L227" s="86"/>
      <c r="M227" s="54" t="str">
        <f>Spotify!B246</f>
        <v>Strength Of A Woman</v>
      </c>
      <c r="N227" s="92" t="str">
        <f>Spotify!D246</f>
        <v>Shaggy</v>
      </c>
      <c r="O227" s="92">
        <f>Spotify!E246</f>
        <v>37558</v>
      </c>
      <c r="P227" s="54">
        <f>ROUND(Spotify!U246,0)</f>
        <v>86</v>
      </c>
      <c r="Q227" s="54">
        <f>ROUND(Spotify!L246*100,0)</f>
        <v>52</v>
      </c>
      <c r="R227" s="54">
        <f>ROUND(Spotify!K246*100,0)</f>
        <v>75</v>
      </c>
      <c r="S227" s="54">
        <f>Spotify!N246</f>
        <v>-5.5819999999999999</v>
      </c>
      <c r="T227" s="54">
        <f>ROUND(Spotify!T246*100,0)</f>
        <v>67</v>
      </c>
      <c r="U227" s="54">
        <f>ROUND(Spotify!F246/60000,1)</f>
        <v>3.8</v>
      </c>
      <c r="V227" s="54">
        <f>ROUND(Spotify!Q246*100,0)</f>
        <v>6</v>
      </c>
      <c r="W227" s="54">
        <f>Spotify!G246</f>
        <v>56</v>
      </c>
    </row>
    <row r="228" spans="1:23" ht="15" x14ac:dyDescent="0.3">
      <c r="A228" s="87">
        <f ca="1">RAND()</f>
        <v>0.54558725692010535</v>
      </c>
      <c r="B228" s="93" t="s">
        <v>1</v>
      </c>
      <c r="C228" s="94"/>
      <c r="D228" s="95" t="s">
        <v>367</v>
      </c>
      <c r="E228" s="94" t="s">
        <v>368</v>
      </c>
      <c r="F228" s="94"/>
      <c r="G228" s="96">
        <v>2003</v>
      </c>
      <c r="H228" s="94" t="s">
        <v>12</v>
      </c>
      <c r="I228" s="94"/>
      <c r="J228" s="88" t="s">
        <v>1476</v>
      </c>
      <c r="K228" s="90" t="str">
        <f>CONCATENATE(SUBSTITUTE(Spotify!J247,",",";"),";",J228)</f>
        <v>;alternative;dance;groovy;acoustic</v>
      </c>
      <c r="L228" s="86"/>
      <c r="M228" s="54" t="str">
        <f>Spotify!B247</f>
        <v>Stuck In The Middle With You</v>
      </c>
      <c r="N228" s="92" t="str">
        <f>Spotify!D247</f>
        <v>Stealers Wheel</v>
      </c>
      <c r="O228" s="92">
        <f>Spotify!E247</f>
        <v>26299</v>
      </c>
      <c r="P228" s="54">
        <f>ROUND(Spotify!U247,0)</f>
        <v>124</v>
      </c>
      <c r="Q228" s="54">
        <f>ROUND(Spotify!L247*100,0)</f>
        <v>58</v>
      </c>
      <c r="R228" s="54">
        <f>ROUND(Spotify!K247*100,0)</f>
        <v>82</v>
      </c>
      <c r="S228" s="54">
        <f>Spotify!N247</f>
        <v>-9.1440000000000001</v>
      </c>
      <c r="T228" s="54">
        <f>ROUND(Spotify!T247*100,0)</f>
        <v>96</v>
      </c>
      <c r="U228" s="54">
        <f>ROUND(Spotify!F247/60000,1)</f>
        <v>3.5</v>
      </c>
      <c r="V228" s="54">
        <f>ROUND(Spotify!Q247*100,0)</f>
        <v>9</v>
      </c>
      <c r="W228" s="54">
        <f>Spotify!G247</f>
        <v>79</v>
      </c>
    </row>
    <row r="229" spans="1:23" ht="15" x14ac:dyDescent="0.3">
      <c r="A229" s="87"/>
      <c r="B229" s="93" t="s">
        <v>1</v>
      </c>
      <c r="C229" s="94"/>
      <c r="D229" s="95" t="s">
        <v>1619</v>
      </c>
      <c r="E229" s="94" t="s">
        <v>446</v>
      </c>
      <c r="F229" s="94"/>
      <c r="G229" s="96">
        <v>1993</v>
      </c>
      <c r="H229" s="94" t="s">
        <v>12</v>
      </c>
      <c r="I229" s="94" t="s">
        <v>1576</v>
      </c>
      <c r="J229" s="88" t="s">
        <v>1457</v>
      </c>
      <c r="K229" s="90" t="str">
        <f>CONCATENATE(SUBSTITUTE(Spotify!J248,",",";"),";",J229)</f>
        <v>motown;love;slow;dance</v>
      </c>
      <c r="L229" s="86"/>
      <c r="M229" s="54" t="str">
        <f>Spotify!B248</f>
        <v>Stuck On You</v>
      </c>
      <c r="N229" s="92" t="str">
        <f>Spotify!D248</f>
        <v>Lionel Richie</v>
      </c>
      <c r="O229" s="92">
        <f>Spotify!E248</f>
        <v>30317</v>
      </c>
      <c r="P229" s="54">
        <f>ROUND(Spotify!U248,0)</f>
        <v>132</v>
      </c>
      <c r="Q229" s="54">
        <f>ROUND(Spotify!L248*100,0)</f>
        <v>32</v>
      </c>
      <c r="R229" s="54">
        <f>ROUND(Spotify!K248*100,0)</f>
        <v>51</v>
      </c>
      <c r="S229" s="54">
        <f>Spotify!N248</f>
        <v>-16.062999999999999</v>
      </c>
      <c r="T229" s="54">
        <f>ROUND(Spotify!T248*100,0)</f>
        <v>25</v>
      </c>
      <c r="U229" s="54">
        <f>ROUND(Spotify!F248/60000,1)</f>
        <v>3.2</v>
      </c>
      <c r="V229" s="54">
        <f>ROUND(Spotify!Q248*100,0)</f>
        <v>62</v>
      </c>
      <c r="W229" s="54">
        <f>Spotify!G248</f>
        <v>74</v>
      </c>
    </row>
    <row r="230" spans="1:23" ht="15" x14ac:dyDescent="0.3">
      <c r="A230" s="87">
        <f ca="1">RAND()</f>
        <v>5.0351952485039098E-2</v>
      </c>
      <c r="B230" s="93" t="s">
        <v>1</v>
      </c>
      <c r="C230" s="94"/>
      <c r="D230" s="95" t="s">
        <v>595</v>
      </c>
      <c r="E230" s="94" t="s">
        <v>596</v>
      </c>
      <c r="F230" s="94"/>
      <c r="G230" s="96">
        <v>1998</v>
      </c>
      <c r="H230" s="94" t="s">
        <v>13</v>
      </c>
      <c r="I230" s="94"/>
      <c r="J230" s="88" t="s">
        <v>1428</v>
      </c>
      <c r="K230" s="90" t="str">
        <f>CONCATENATE(SUBSTITUTE(Spotify!J249,",",";"),";",J230)</f>
        <v>pop;dance;fast;groovy</v>
      </c>
      <c r="L230" s="86"/>
      <c r="M230" s="54" t="str">
        <f>Spotify!B249</f>
        <v>Sugar</v>
      </c>
      <c r="N230" s="92" t="str">
        <f>Spotify!D249</f>
        <v>Maroon 5</v>
      </c>
      <c r="O230" s="92">
        <f>Spotify!E249</f>
        <v>41884</v>
      </c>
      <c r="P230" s="54">
        <f>ROUND(Spotify!U249,0)</f>
        <v>120</v>
      </c>
      <c r="Q230" s="54">
        <f>ROUND(Spotify!L249*100,0)</f>
        <v>77</v>
      </c>
      <c r="R230" s="54">
        <f>ROUND(Spotify!K249*100,0)</f>
        <v>75</v>
      </c>
      <c r="S230" s="54">
        <f>Spotify!N249</f>
        <v>-7.0949999999999998</v>
      </c>
      <c r="T230" s="54">
        <f>ROUND(Spotify!T249*100,0)</f>
        <v>90</v>
      </c>
      <c r="U230" s="54">
        <f>ROUND(Spotify!F249/60000,1)</f>
        <v>3.9</v>
      </c>
      <c r="V230" s="54">
        <f>ROUND(Spotify!Q249*100,0)</f>
        <v>5</v>
      </c>
      <c r="W230" s="54">
        <f>Spotify!G249</f>
        <v>36</v>
      </c>
    </row>
    <row r="231" spans="1:23" ht="15" x14ac:dyDescent="0.3">
      <c r="A231" s="87">
        <f ca="1">RAND()</f>
        <v>0.15975444741086142</v>
      </c>
      <c r="B231" s="93"/>
      <c r="C231" s="94"/>
      <c r="D231" s="95" t="s">
        <v>371</v>
      </c>
      <c r="E231" s="94" t="s">
        <v>206</v>
      </c>
      <c r="F231" s="94"/>
      <c r="G231" s="96">
        <v>2004</v>
      </c>
      <c r="H231" s="94" t="s">
        <v>12</v>
      </c>
      <c r="I231" s="94" t="s">
        <v>372</v>
      </c>
      <c r="J231" s="88" t="s">
        <v>1436</v>
      </c>
      <c r="K231" s="90" t="str">
        <f>CONCATENATE(SUBSTITUTE(Spotify!J250,",",";"),";",J231)</f>
        <v>;alternative;acoustic;love;groovy</v>
      </c>
      <c r="L231" s="86"/>
      <c r="M231" s="54" t="str">
        <f>Spotify!B250</f>
        <v>Sugar, Sugar</v>
      </c>
      <c r="N231" s="92" t="str">
        <f>Spotify!D250</f>
        <v>The Archies</v>
      </c>
      <c r="O231" s="92">
        <f>Spotify!E250</f>
        <v>39393</v>
      </c>
      <c r="P231" s="54">
        <f>ROUND(Spotify!U250,0)</f>
        <v>122</v>
      </c>
      <c r="Q231" s="54">
        <f>ROUND(Spotify!L250*100,0)</f>
        <v>87</v>
      </c>
      <c r="R231" s="54">
        <f>ROUND(Spotify!K250*100,0)</f>
        <v>74</v>
      </c>
      <c r="S231" s="54">
        <f>Spotify!N250</f>
        <v>-2.786</v>
      </c>
      <c r="T231" s="54">
        <f>ROUND(Spotify!T250*100,0)</f>
        <v>97</v>
      </c>
      <c r="U231" s="54">
        <f>ROUND(Spotify!F250/60000,1)</f>
        <v>2.8</v>
      </c>
      <c r="V231" s="54">
        <f>ROUND(Spotify!Q250*100,0)</f>
        <v>47</v>
      </c>
      <c r="W231" s="54">
        <f>Spotify!G250</f>
        <v>66</v>
      </c>
    </row>
    <row r="232" spans="1:23" ht="15" x14ac:dyDescent="0.3">
      <c r="A232" s="87">
        <f ca="1">RAND()</f>
        <v>0.17554796713476006</v>
      </c>
      <c r="B232" s="93" t="s">
        <v>1</v>
      </c>
      <c r="C232" s="94"/>
      <c r="D232" s="95" t="s">
        <v>1590</v>
      </c>
      <c r="E232" s="94" t="s">
        <v>103</v>
      </c>
      <c r="F232" s="94"/>
      <c r="G232" s="96">
        <v>2018</v>
      </c>
      <c r="H232" s="94" t="s">
        <v>12</v>
      </c>
      <c r="I232" s="94" t="s">
        <v>13</v>
      </c>
      <c r="J232" s="88" t="s">
        <v>1464</v>
      </c>
      <c r="K232" s="90" t="str">
        <f>CONCATENATE(SUBSTITUTE(Spotify!J251,",",";"),";",J232)</f>
        <v>classic rock;alternative;dance;fast</v>
      </c>
      <c r="L232" s="86"/>
      <c r="M232" s="54" t="str">
        <f>Spotify!B251</f>
        <v>Sultans of Swing</v>
      </c>
      <c r="N232" s="92" t="str">
        <f>Spotify!D251</f>
        <v>Dire Straits</v>
      </c>
      <c r="O232" s="92">
        <f>Spotify!E251</f>
        <v>28770</v>
      </c>
      <c r="P232" s="54">
        <f>ROUND(Spotify!U251,0)</f>
        <v>148</v>
      </c>
      <c r="Q232" s="54">
        <f>ROUND(Spotify!L251*100,0)</f>
        <v>80</v>
      </c>
      <c r="R232" s="54">
        <f>ROUND(Spotify!K251*100,0)</f>
        <v>73</v>
      </c>
      <c r="S232" s="54">
        <f>Spotify!N251</f>
        <v>-10.058999999999999</v>
      </c>
      <c r="T232" s="54">
        <f>ROUND(Spotify!T251*100,0)</f>
        <v>93</v>
      </c>
      <c r="U232" s="54">
        <f>ROUND(Spotify!F251/60000,1)</f>
        <v>5.8</v>
      </c>
      <c r="V232" s="54">
        <f>ROUND(Spotify!Q251*100,0)</f>
        <v>7</v>
      </c>
      <c r="W232" s="54">
        <f>Spotify!G251</f>
        <v>76</v>
      </c>
    </row>
    <row r="233" spans="1:23" ht="15" x14ac:dyDescent="0.3">
      <c r="A233" s="87">
        <f ca="1">RAND()</f>
        <v>0.47628302996889238</v>
      </c>
      <c r="B233" s="93" t="s">
        <v>1</v>
      </c>
      <c r="C233" s="94"/>
      <c r="D233" s="95" t="s">
        <v>597</v>
      </c>
      <c r="E233" s="94" t="s">
        <v>598</v>
      </c>
      <c r="F233" s="94"/>
      <c r="G233" s="96">
        <v>2018</v>
      </c>
      <c r="H233" s="94" t="s">
        <v>20</v>
      </c>
      <c r="I233" s="94"/>
      <c r="J233" s="88" t="s">
        <v>1477</v>
      </c>
      <c r="K233" s="90" t="str">
        <f>CONCATENATE(SUBSTITUTE(Spotify!J252,",",";"),";",J233)</f>
        <v>;acoustic;love;groovy</v>
      </c>
      <c r="L233" s="86"/>
      <c r="M233" s="54" t="str">
        <f>Spotify!B252</f>
        <v>Summer Holiday</v>
      </c>
      <c r="N233" s="92" t="str">
        <f>Spotify!D252</f>
        <v>Cliff Richard &amp; The Shadows</v>
      </c>
      <c r="O233" s="92">
        <f>Spotify!E252</f>
        <v>41640</v>
      </c>
      <c r="P233" s="54">
        <f>ROUND(Spotify!U252,0)</f>
        <v>130</v>
      </c>
      <c r="Q233" s="54">
        <f>ROUND(Spotify!L252*100,0)</f>
        <v>17</v>
      </c>
      <c r="R233" s="54">
        <f>ROUND(Spotify!K252*100,0)</f>
        <v>56</v>
      </c>
      <c r="S233" s="54">
        <f>Spotify!N252</f>
        <v>-21.151</v>
      </c>
      <c r="T233" s="54">
        <f>ROUND(Spotify!T252*100,0)</f>
        <v>66</v>
      </c>
      <c r="U233" s="54">
        <f>ROUND(Spotify!F252/60000,1)</f>
        <v>2.2000000000000002</v>
      </c>
      <c r="V233" s="54">
        <f>ROUND(Spotify!Q252*100,0)</f>
        <v>88</v>
      </c>
      <c r="W233" s="54">
        <f>Spotify!G252</f>
        <v>27</v>
      </c>
    </row>
    <row r="234" spans="1:23" s="53" customFormat="1" ht="15" x14ac:dyDescent="0.3">
      <c r="A234" s="87">
        <f ca="1">RAND()</f>
        <v>0.48914395595422611</v>
      </c>
      <c r="B234" s="93"/>
      <c r="C234" s="94"/>
      <c r="D234" s="95" t="s">
        <v>373</v>
      </c>
      <c r="E234" s="94" t="s">
        <v>228</v>
      </c>
      <c r="F234" s="94"/>
      <c r="G234" s="96">
        <v>2012</v>
      </c>
      <c r="H234" s="94" t="s">
        <v>13</v>
      </c>
      <c r="I234" s="94"/>
      <c r="J234" s="88" t="s">
        <v>1478</v>
      </c>
      <c r="K234" s="90" t="str">
        <f>CONCATENATE(SUBSTITUTE(Spotify!J253,",",";"),";",J234)</f>
        <v>;dance;slow</v>
      </c>
      <c r="L234" s="86"/>
      <c r="M234" s="54" t="str">
        <f>Spotify!B253</f>
        <v>Super Trouper</v>
      </c>
      <c r="N234" s="92" t="str">
        <f>Spotify!D253</f>
        <v>ABBA</v>
      </c>
      <c r="O234" s="92">
        <f>Spotify!E253</f>
        <v>1980</v>
      </c>
      <c r="P234" s="54">
        <f>ROUND(Spotify!U253,0)</f>
        <v>118</v>
      </c>
      <c r="Q234" s="54">
        <f>ROUND(Spotify!L253*100,0)</f>
        <v>63</v>
      </c>
      <c r="R234" s="54">
        <f>ROUND(Spotify!K253*100,0)</f>
        <v>76</v>
      </c>
      <c r="S234" s="54">
        <f>Spotify!N253</f>
        <v>-8.2739999999999991</v>
      </c>
      <c r="T234" s="54">
        <f>ROUND(Spotify!T253*100,0)</f>
        <v>96</v>
      </c>
      <c r="U234" s="54">
        <f>ROUND(Spotify!F253/60000,1)</f>
        <v>4.2</v>
      </c>
      <c r="V234" s="54">
        <f>ROUND(Spotify!Q253*100,0)</f>
        <v>46</v>
      </c>
      <c r="W234" s="54">
        <f>Spotify!G253</f>
        <v>78</v>
      </c>
    </row>
    <row r="235" spans="1:23" s="53" customFormat="1" ht="15" x14ac:dyDescent="0.3">
      <c r="A235" s="87"/>
      <c r="B235" s="93" t="s">
        <v>1</v>
      </c>
      <c r="C235" s="94"/>
      <c r="D235" s="95" t="s">
        <v>1742</v>
      </c>
      <c r="E235" s="94" t="s">
        <v>1744</v>
      </c>
      <c r="F235" s="94"/>
      <c r="G235" s="96">
        <v>1991</v>
      </c>
      <c r="H235" s="94" t="s">
        <v>12</v>
      </c>
      <c r="I235" s="94"/>
      <c r="J235" s="88"/>
      <c r="K235" s="90" t="str">
        <f>CONCATENATE(SUBSTITUTE(Spotify!J254,",",";"),";",J235)</f>
        <v>;</v>
      </c>
      <c r="L235" s="86"/>
      <c r="M235" s="54" t="str">
        <f>Spotify!B254</f>
        <v>Superman</v>
      </c>
      <c r="N235" s="92" t="str">
        <f>Spotify!D254</f>
        <v>Lazlo Bane</v>
      </c>
      <c r="O235" s="92">
        <f>Spotify!E254</f>
        <v>37257</v>
      </c>
      <c r="P235" s="54">
        <f>ROUND(Spotify!U254,0)</f>
        <v>162</v>
      </c>
      <c r="Q235" s="54">
        <f>ROUND(Spotify!L254*100,0)</f>
        <v>79</v>
      </c>
      <c r="R235" s="54">
        <f>ROUND(Spotify!K254*100,0)</f>
        <v>54</v>
      </c>
      <c r="S235" s="54">
        <f>Spotify!N254</f>
        <v>-5.6539999999999999</v>
      </c>
      <c r="T235" s="54">
        <f>ROUND(Spotify!T254*100,0)</f>
        <v>83</v>
      </c>
      <c r="U235" s="54">
        <f>ROUND(Spotify!F254/60000,1)</f>
        <v>3.6</v>
      </c>
      <c r="V235" s="54">
        <f>ROUND(Spotify!Q254*100,0)</f>
        <v>7</v>
      </c>
      <c r="W235" s="54">
        <f>Spotify!G254</f>
        <v>33</v>
      </c>
    </row>
    <row r="236" spans="1:23" s="53" customFormat="1" ht="15" x14ac:dyDescent="0.3">
      <c r="A236" s="87">
        <f t="shared" ref="A236:A247" ca="1" si="16">RAND()</f>
        <v>0.85113236098696821</v>
      </c>
      <c r="B236" s="93" t="s">
        <v>1</v>
      </c>
      <c r="C236" s="94"/>
      <c r="D236" s="95" t="s">
        <v>60</v>
      </c>
      <c r="E236" s="94" t="s">
        <v>647</v>
      </c>
      <c r="F236" s="94"/>
      <c r="G236" s="96">
        <v>1999</v>
      </c>
      <c r="H236" s="101" t="s">
        <v>12</v>
      </c>
      <c r="I236" s="101" t="s">
        <v>81</v>
      </c>
      <c r="J236" s="88" t="s">
        <v>1453</v>
      </c>
      <c r="K236" s="90" t="str">
        <f>CONCATENATE(SUBSTITUTE(Spotify!J255,",",";"),";",J236)</f>
        <v>;groovy;dance;love</v>
      </c>
      <c r="L236" s="86"/>
      <c r="M236" s="54" t="str">
        <f>Spotify!B255</f>
        <v>Swallowed in the Sea</v>
      </c>
      <c r="N236" s="92" t="str">
        <f>Spotify!D255</f>
        <v>Coldplay</v>
      </c>
      <c r="O236" s="92">
        <f>Spotify!E255</f>
        <v>38510</v>
      </c>
      <c r="P236" s="54">
        <f>ROUND(Spotify!U255,0)</f>
        <v>142</v>
      </c>
      <c r="Q236" s="54">
        <f>ROUND(Spotify!L255*100,0)</f>
        <v>38</v>
      </c>
      <c r="R236" s="54">
        <f>ROUND(Spotify!K255*100,0)</f>
        <v>27</v>
      </c>
      <c r="S236" s="54">
        <f>Spotify!N255</f>
        <v>-10.823</v>
      </c>
      <c r="T236" s="54">
        <f>ROUND(Spotify!T255*100,0)</f>
        <v>15</v>
      </c>
      <c r="U236" s="54">
        <f>ROUND(Spotify!F255/60000,1)</f>
        <v>4</v>
      </c>
      <c r="V236" s="54">
        <f>ROUND(Spotify!Q255*100,0)</f>
        <v>6</v>
      </c>
      <c r="W236" s="54">
        <f>Spotify!G255</f>
        <v>56</v>
      </c>
    </row>
    <row r="237" spans="1:23" ht="15" x14ac:dyDescent="0.3">
      <c r="A237" s="87">
        <f t="shared" ca="1" si="16"/>
        <v>0.95955679760334045</v>
      </c>
      <c r="B237" s="93"/>
      <c r="C237" s="94" t="s">
        <v>17</v>
      </c>
      <c r="D237" s="95" t="s">
        <v>374</v>
      </c>
      <c r="E237" s="94" t="s">
        <v>375</v>
      </c>
      <c r="F237" s="94"/>
      <c r="G237" s="96">
        <v>1984</v>
      </c>
      <c r="H237" s="94" t="s">
        <v>59</v>
      </c>
      <c r="I237" s="94"/>
      <c r="J237" s="88" t="s">
        <v>1479</v>
      </c>
      <c r="K237" s="90" t="str">
        <f>CONCATENATE(SUBSTITUTE(Spotify!J256,",",";"),";",J237)</f>
        <v>christmas;jazz;dance;love;groovy</v>
      </c>
      <c r="L237" s="86"/>
      <c r="M237" s="54" t="str">
        <f>Spotify!B256</f>
        <v>Sway</v>
      </c>
      <c r="N237" s="92" t="str">
        <f>Spotify!D256</f>
        <v>Michael Bublé</v>
      </c>
      <c r="O237" s="92">
        <f>Spotify!E256</f>
        <v>2003</v>
      </c>
      <c r="P237" s="54">
        <f>ROUND(Spotify!U256,0)</f>
        <v>126</v>
      </c>
      <c r="Q237" s="54">
        <f>ROUND(Spotify!L256*100,0)</f>
        <v>64</v>
      </c>
      <c r="R237" s="54">
        <f>ROUND(Spotify!K256*100,0)</f>
        <v>71</v>
      </c>
      <c r="S237" s="54">
        <f>Spotify!N256</f>
        <v>-5.5289999999999999</v>
      </c>
      <c r="T237" s="54">
        <f>ROUND(Spotify!T256*100,0)</f>
        <v>74</v>
      </c>
      <c r="U237" s="54">
        <f>ROUND(Spotify!F256/60000,1)</f>
        <v>3.1</v>
      </c>
      <c r="V237" s="54">
        <f>ROUND(Spotify!Q256*100,0)</f>
        <v>75</v>
      </c>
      <c r="W237" s="54">
        <f>Spotify!G256</f>
        <v>75</v>
      </c>
    </row>
    <row r="238" spans="1:23" ht="15" x14ac:dyDescent="0.3">
      <c r="A238" s="87">
        <f t="shared" ca="1" si="16"/>
        <v>0.30754717222309669</v>
      </c>
      <c r="B238" s="93"/>
      <c r="C238" s="94" t="s">
        <v>77</v>
      </c>
      <c r="D238" s="95" t="s">
        <v>376</v>
      </c>
      <c r="E238" s="94" t="s">
        <v>110</v>
      </c>
      <c r="F238" s="94"/>
      <c r="G238" s="96">
        <v>2006</v>
      </c>
      <c r="H238" s="94" t="s">
        <v>12</v>
      </c>
      <c r="I238" s="94"/>
      <c r="J238" s="88" t="s">
        <v>1480</v>
      </c>
      <c r="K238" s="90" t="str">
        <f>CONCATENATE(SUBSTITUTE(Spotify!J257,",",";"),";",J238)</f>
        <v>rock;glam metal;hard rock;classic rock;alternative;fast;dance;groovy</v>
      </c>
      <c r="L238" s="86"/>
      <c r="M238" s="54" t="str">
        <f>Spotify!B257</f>
        <v>Sweet Child O' Mine</v>
      </c>
      <c r="N238" s="92" t="str">
        <f>Spotify!D257</f>
        <v>Guns N' Roses</v>
      </c>
      <c r="O238" s="92">
        <f>Spotify!E257</f>
        <v>31979</v>
      </c>
      <c r="P238" s="54">
        <f>ROUND(Spotify!U257,0)</f>
        <v>125</v>
      </c>
      <c r="Q238" s="54">
        <f>ROUND(Spotify!L257*100,0)</f>
        <v>95</v>
      </c>
      <c r="R238" s="54">
        <f>ROUND(Spotify!K257*100,0)</f>
        <v>45</v>
      </c>
      <c r="S238" s="54">
        <f>Spotify!N257</f>
        <v>-5.3209999999999997</v>
      </c>
      <c r="T238" s="54">
        <f>ROUND(Spotify!T257*100,0)</f>
        <v>62</v>
      </c>
      <c r="U238" s="54">
        <f>ROUND(Spotify!F257/60000,1)</f>
        <v>5.9</v>
      </c>
      <c r="V238" s="54">
        <f>ROUND(Spotify!Q257*100,0)</f>
        <v>9</v>
      </c>
      <c r="W238" s="54">
        <f>Spotify!G257</f>
        <v>90</v>
      </c>
    </row>
    <row r="239" spans="1:23" ht="15" x14ac:dyDescent="0.3">
      <c r="A239" s="87">
        <f t="shared" ca="1" si="16"/>
        <v>0.48475122048252184</v>
      </c>
      <c r="B239" s="93" t="s">
        <v>1</v>
      </c>
      <c r="C239" s="94"/>
      <c r="D239" s="95" t="s">
        <v>1349</v>
      </c>
      <c r="E239" s="94" t="s">
        <v>1352</v>
      </c>
      <c r="F239" s="94"/>
      <c r="G239" s="96">
        <v>2011</v>
      </c>
      <c r="H239" s="94" t="s">
        <v>13</v>
      </c>
      <c r="I239" s="94" t="s">
        <v>12</v>
      </c>
      <c r="J239" s="88" t="s">
        <v>1398</v>
      </c>
      <c r="K239" s="90" t="str">
        <f>CONCATENATE(SUBSTITUTE(Spotify!J258,",",";"),";",J239)</f>
        <v>christmas;adult standards;alternative;acoustic</v>
      </c>
      <c r="L239" s="86"/>
      <c r="M239" s="54" t="str">
        <f>Spotify!B258</f>
        <v>Sweet, Sweet Smile</v>
      </c>
      <c r="N239" s="92" t="str">
        <f>Spotify!D258</f>
        <v>Carpenters</v>
      </c>
      <c r="O239" s="92">
        <f>Spotify!E258</f>
        <v>28408</v>
      </c>
      <c r="P239" s="54">
        <f>ROUND(Spotify!U258,0)</f>
        <v>171</v>
      </c>
      <c r="Q239" s="54">
        <f>ROUND(Spotify!L258*100,0)</f>
        <v>48</v>
      </c>
      <c r="R239" s="54">
        <f>ROUND(Spotify!K258*100,0)</f>
        <v>49</v>
      </c>
      <c r="S239" s="54">
        <f>Spotify!N258</f>
        <v>-13.090999999999999</v>
      </c>
      <c r="T239" s="54">
        <f>ROUND(Spotify!T258*100,0)</f>
        <v>91</v>
      </c>
      <c r="U239" s="54">
        <f>ROUND(Spotify!F258/60000,1)</f>
        <v>3</v>
      </c>
      <c r="V239" s="54">
        <f>ROUND(Spotify!Q258*100,0)</f>
        <v>16</v>
      </c>
      <c r="W239" s="54">
        <f>Spotify!G258</f>
        <v>43</v>
      </c>
    </row>
    <row r="240" spans="1:23" ht="15" x14ac:dyDescent="0.3">
      <c r="A240" s="87">
        <f t="shared" ca="1" si="16"/>
        <v>0.71824188424197855</v>
      </c>
      <c r="B240" s="93"/>
      <c r="C240" s="94" t="s">
        <v>94</v>
      </c>
      <c r="D240" s="89" t="s">
        <v>377</v>
      </c>
      <c r="E240" s="94" t="s">
        <v>228</v>
      </c>
      <c r="F240" s="94"/>
      <c r="G240" s="96">
        <v>2011</v>
      </c>
      <c r="H240" s="94" t="s">
        <v>13</v>
      </c>
      <c r="I240" s="94" t="s">
        <v>76</v>
      </c>
      <c r="J240" s="88" t="s">
        <v>1482</v>
      </c>
      <c r="K240" s="90" t="str">
        <f>CONCATENATE(SUBSTITUTE(Spotify!J259,",",";"),";",J240)</f>
        <v>new wave;synthpop;slow;love;acoustic;alternative</v>
      </c>
      <c r="L240" s="86"/>
      <c r="M240" s="54" t="str">
        <f>Spotify!B259</f>
        <v>Sweet Dreams (Are Made of This) - 2005 Remaster</v>
      </c>
      <c r="N240" s="92" t="str">
        <f>Spotify!D259</f>
        <v>Eurythmics;Annie Lennox;Dave Stewart</v>
      </c>
      <c r="O240" s="92">
        <f>Spotify!E259</f>
        <v>30320</v>
      </c>
      <c r="P240" s="54">
        <f>ROUND(Spotify!U259,0)</f>
        <v>125</v>
      </c>
      <c r="Q240" s="54">
        <f>ROUND(Spotify!L259*100,0)</f>
        <v>71</v>
      </c>
      <c r="R240" s="54">
        <f>ROUND(Spotify!K259*100,0)</f>
        <v>69</v>
      </c>
      <c r="S240" s="54">
        <f>Spotify!N259</f>
        <v>-7.4980000000000002</v>
      </c>
      <c r="T240" s="54">
        <f>ROUND(Spotify!T259*100,0)</f>
        <v>88</v>
      </c>
      <c r="U240" s="54">
        <f>ROUND(Spotify!F259/60000,1)</f>
        <v>3.6</v>
      </c>
      <c r="V240" s="54">
        <f>ROUND(Spotify!Q259*100,0)</f>
        <v>23</v>
      </c>
      <c r="W240" s="54">
        <f>Spotify!G259</f>
        <v>86</v>
      </c>
    </row>
    <row r="241" spans="1:23" ht="15" x14ac:dyDescent="0.3">
      <c r="A241" s="87">
        <f t="shared" ca="1" si="16"/>
        <v>0.20544414238184061</v>
      </c>
      <c r="B241" s="93"/>
      <c r="C241" s="94"/>
      <c r="D241" s="95" t="s">
        <v>1649</v>
      </c>
      <c r="E241" s="94" t="s">
        <v>194</v>
      </c>
      <c r="F241" s="94"/>
      <c r="G241" s="96">
        <v>1967</v>
      </c>
      <c r="H241" s="94" t="s">
        <v>13</v>
      </c>
      <c r="I241" s="94"/>
      <c r="J241" s="88" t="s">
        <v>1650</v>
      </c>
      <c r="K241" s="90" t="str">
        <f>CONCATENATE(SUBSTITUTE(Spotify!J260,",",";"),";",J241)</f>
        <v>;slow;love;acoustic;alternative;dance</v>
      </c>
      <c r="L241" s="86"/>
      <c r="M241" s="54" t="str">
        <f>Spotify!B260</f>
        <v>Take A Chance On Me</v>
      </c>
      <c r="N241" s="92" t="str">
        <f>Spotify!D260</f>
        <v>ABBA</v>
      </c>
      <c r="O241" s="92">
        <f>Spotify!E260</f>
        <v>1977</v>
      </c>
      <c r="P241" s="54">
        <f>ROUND(Spotify!U260,0)</f>
        <v>107</v>
      </c>
      <c r="Q241" s="54">
        <f>ROUND(Spotify!L260*100,0)</f>
        <v>68</v>
      </c>
      <c r="R241" s="54">
        <f>ROUND(Spotify!K260*100,0)</f>
        <v>68</v>
      </c>
      <c r="S241" s="54">
        <f>Spotify!N260</f>
        <v>-8.1229999999999993</v>
      </c>
      <c r="T241" s="54">
        <f>ROUND(Spotify!T260*100,0)</f>
        <v>92</v>
      </c>
      <c r="U241" s="54">
        <f>ROUND(Spotify!F260/60000,1)</f>
        <v>4.0999999999999996</v>
      </c>
      <c r="V241" s="54">
        <f>ROUND(Spotify!Q260*100,0)</f>
        <v>16</v>
      </c>
      <c r="W241" s="54">
        <f>Spotify!G260</f>
        <v>79</v>
      </c>
    </row>
    <row r="242" spans="1:23" ht="15" x14ac:dyDescent="0.3">
      <c r="A242" s="87">
        <f t="shared" ca="1" si="16"/>
        <v>0.5465157537351959</v>
      </c>
      <c r="B242" s="93" t="s">
        <v>1</v>
      </c>
      <c r="C242" s="94" t="s">
        <v>14</v>
      </c>
      <c r="D242" s="95" t="s">
        <v>608</v>
      </c>
      <c r="E242" s="94" t="s">
        <v>609</v>
      </c>
      <c r="F242" s="94"/>
      <c r="G242" s="96">
        <v>1969</v>
      </c>
      <c r="H242" s="94" t="s">
        <v>69</v>
      </c>
      <c r="I242" s="94"/>
      <c r="J242" s="88" t="s">
        <v>1497</v>
      </c>
      <c r="K242" s="90" t="str">
        <f>CONCATENATE(SUBSTITUTE(Spotify!J261,",",";"),";",J242)</f>
        <v>jazz;cool jazz;groovy;dance;oldies;retro;love</v>
      </c>
      <c r="L242" s="86"/>
      <c r="M242" s="54" t="str">
        <f>Spotify!B261</f>
        <v>Take Five</v>
      </c>
      <c r="N242" s="92" t="str">
        <f>Spotify!D261</f>
        <v>Dave Brubeck;The Dave Brubeck Quartet</v>
      </c>
      <c r="O242" s="92">
        <f>Spotify!E261</f>
        <v>1966</v>
      </c>
      <c r="P242" s="54">
        <f>ROUND(Spotify!U261,0)</f>
        <v>174</v>
      </c>
      <c r="Q242" s="54">
        <f>ROUND(Spotify!L261*100,0)</f>
        <v>26</v>
      </c>
      <c r="R242" s="54">
        <f>ROUND(Spotify!K261*100,0)</f>
        <v>45</v>
      </c>
      <c r="S242" s="54">
        <f>Spotify!N261</f>
        <v>-13.212999999999999</v>
      </c>
      <c r="T242" s="54">
        <f>ROUND(Spotify!T261*100,0)</f>
        <v>57</v>
      </c>
      <c r="U242" s="54">
        <f>ROUND(Spotify!F261/60000,1)</f>
        <v>5.4</v>
      </c>
      <c r="V242" s="54">
        <f>ROUND(Spotify!Q261*100,0)</f>
        <v>53</v>
      </c>
      <c r="W242" s="54">
        <f>Spotify!G261</f>
        <v>51</v>
      </c>
    </row>
    <row r="243" spans="1:23" ht="15" x14ac:dyDescent="0.3">
      <c r="A243" s="87">
        <f t="shared" ca="1" si="16"/>
        <v>0.38389777135398584</v>
      </c>
      <c r="B243" s="93"/>
      <c r="C243" s="94"/>
      <c r="D243" s="95" t="s">
        <v>603</v>
      </c>
      <c r="E243" s="94" t="s">
        <v>138</v>
      </c>
      <c r="F243" s="94"/>
      <c r="G243" s="96">
        <v>1975</v>
      </c>
      <c r="H243" s="94" t="s">
        <v>13</v>
      </c>
      <c r="I243" s="94"/>
      <c r="J243" s="88" t="s">
        <v>1543</v>
      </c>
      <c r="K243" s="90" t="str">
        <f>CONCATENATE(SUBSTITUTE(Spotify!J262,",",";"),";",J243)</f>
        <v>;dance;jive;oldies;retro;groovy;love</v>
      </c>
      <c r="L243" s="86"/>
      <c r="M243" s="54" t="str">
        <f>Spotify!B262</f>
        <v>Take Me to Church</v>
      </c>
      <c r="N243" s="92" t="str">
        <f>Spotify!D262</f>
        <v>Hozier</v>
      </c>
      <c r="O243" s="92">
        <f>Spotify!E262</f>
        <v>41901</v>
      </c>
      <c r="P243" s="54">
        <f>ROUND(Spotify!U262,0)</f>
        <v>129</v>
      </c>
      <c r="Q243" s="54">
        <f>ROUND(Spotify!L262*100,0)</f>
        <v>66</v>
      </c>
      <c r="R243" s="54">
        <f>ROUND(Spotify!K262*100,0)</f>
        <v>57</v>
      </c>
      <c r="S243" s="54">
        <f>Spotify!N262</f>
        <v>-5.3029999999999999</v>
      </c>
      <c r="T243" s="54">
        <f>ROUND(Spotify!T262*100,0)</f>
        <v>44</v>
      </c>
      <c r="U243" s="54">
        <f>ROUND(Spotify!F262/60000,1)</f>
        <v>4</v>
      </c>
      <c r="V243" s="54">
        <f>ROUND(Spotify!Q262*100,0)</f>
        <v>63</v>
      </c>
      <c r="W243" s="54">
        <f>Spotify!G262</f>
        <v>82</v>
      </c>
    </row>
    <row r="244" spans="1:23" ht="15" x14ac:dyDescent="0.3">
      <c r="A244" s="87">
        <f t="shared" ca="1" si="16"/>
        <v>0.20049579032179066</v>
      </c>
      <c r="B244" s="93" t="s">
        <v>1</v>
      </c>
      <c r="C244" s="94" t="s">
        <v>37</v>
      </c>
      <c r="D244" s="95" t="s">
        <v>378</v>
      </c>
      <c r="E244" s="94" t="s">
        <v>158</v>
      </c>
      <c r="F244" s="94" t="s">
        <v>379</v>
      </c>
      <c r="G244" s="96">
        <v>1999</v>
      </c>
      <c r="H244" s="94" t="s">
        <v>12</v>
      </c>
      <c r="I244" s="94" t="s">
        <v>43</v>
      </c>
      <c r="J244" s="88" t="s">
        <v>1398</v>
      </c>
      <c r="K244" s="90" t="str">
        <f>CONCATENATE(SUBSTITUTE(Spotify!J263,",",";"),";",J244)</f>
        <v>blues;blues rock;classic rock;alternative;acoustic</v>
      </c>
      <c r="L244" s="86"/>
      <c r="M244" s="54" t="str">
        <f>Spotify!B263</f>
        <v>Tears in Heaven</v>
      </c>
      <c r="N244" s="92" t="str">
        <f>Spotify!D263</f>
        <v>Eric Clapton</v>
      </c>
      <c r="O244" s="92">
        <f>Spotify!E263</f>
        <v>36445</v>
      </c>
      <c r="P244" s="54">
        <f>ROUND(Spotify!U263,0)</f>
        <v>154</v>
      </c>
      <c r="Q244" s="54">
        <f>ROUND(Spotify!L263*100,0)</f>
        <v>24</v>
      </c>
      <c r="R244" s="54">
        <f>ROUND(Spotify!K263*100,0)</f>
        <v>50</v>
      </c>
      <c r="S244" s="54">
        <f>Spotify!N263</f>
        <v>-12.238</v>
      </c>
      <c r="T244" s="54">
        <f>ROUND(Spotify!T263*100,0)</f>
        <v>31</v>
      </c>
      <c r="U244" s="54">
        <f>ROUND(Spotify!F263/60000,1)</f>
        <v>4.5</v>
      </c>
      <c r="V244" s="54">
        <f>ROUND(Spotify!Q263*100,0)</f>
        <v>84</v>
      </c>
      <c r="W244" s="54">
        <f>Spotify!G263</f>
        <v>1</v>
      </c>
    </row>
    <row r="245" spans="1:23" ht="15" x14ac:dyDescent="0.3">
      <c r="A245" s="87">
        <f t="shared" ca="1" si="16"/>
        <v>0.53313782791129183</v>
      </c>
      <c r="B245" s="93"/>
      <c r="C245" s="94" t="s">
        <v>46</v>
      </c>
      <c r="D245" s="95" t="s">
        <v>382</v>
      </c>
      <c r="E245" s="97" t="s">
        <v>383</v>
      </c>
      <c r="F245" s="94"/>
      <c r="G245" s="96">
        <v>1961</v>
      </c>
      <c r="H245" s="94" t="s">
        <v>69</v>
      </c>
      <c r="I245" s="94" t="s">
        <v>76</v>
      </c>
      <c r="J245" s="88" t="s">
        <v>1483</v>
      </c>
      <c r="K245" s="90" t="str">
        <f>CONCATENATE(SUBSTITUTE(Spotify!J264,",",";"),";",J245)</f>
        <v>;oldies;retro;jazz;dance;groovy</v>
      </c>
      <c r="L245" s="86"/>
      <c r="M245" s="54" t="str">
        <f>Spotify!B264</f>
        <v>Ten Guitars</v>
      </c>
      <c r="N245" s="92" t="str">
        <f>Spotify!D264</f>
        <v>Gordon Mills;Engelbert Humperdinck</v>
      </c>
      <c r="O245" s="92">
        <f>Spotify!E264</f>
        <v>24612</v>
      </c>
      <c r="P245" s="54">
        <f>ROUND(Spotify!U264,0)</f>
        <v>134</v>
      </c>
      <c r="Q245" s="54">
        <f>ROUND(Spotify!L264*100,0)</f>
        <v>48</v>
      </c>
      <c r="R245" s="54">
        <f>ROUND(Spotify!K264*100,0)</f>
        <v>62</v>
      </c>
      <c r="S245" s="54">
        <f>Spotify!N264</f>
        <v>-12.180999999999999</v>
      </c>
      <c r="T245" s="54">
        <f>ROUND(Spotify!T264*100,0)</f>
        <v>85</v>
      </c>
      <c r="U245" s="54">
        <f>ROUND(Spotify!F264/60000,1)</f>
        <v>2.6</v>
      </c>
      <c r="V245" s="54">
        <f>ROUND(Spotify!Q264*100,0)</f>
        <v>66</v>
      </c>
      <c r="W245" s="54">
        <f>Spotify!G264</f>
        <v>25</v>
      </c>
    </row>
    <row r="246" spans="1:23" ht="15" x14ac:dyDescent="0.3">
      <c r="A246" s="87">
        <f t="shared" ca="1" si="16"/>
        <v>0.37389978400414514</v>
      </c>
      <c r="B246" s="93" t="s">
        <v>1</v>
      </c>
      <c r="C246" s="94" t="s">
        <v>93</v>
      </c>
      <c r="D246" s="95" t="s">
        <v>384</v>
      </c>
      <c r="E246" s="94" t="s">
        <v>385</v>
      </c>
      <c r="F246" s="94"/>
      <c r="G246" s="96">
        <v>2002</v>
      </c>
      <c r="H246" s="94" t="s">
        <v>70</v>
      </c>
      <c r="I246" s="94"/>
      <c r="J246" s="88" t="s">
        <v>1465</v>
      </c>
      <c r="K246" s="90" t="str">
        <f>CONCATENATE(SUBSTITUTE(Spotify!J265,",",";"),";",J246)</f>
        <v>;groovy;dance;acoustic;alternative</v>
      </c>
      <c r="L246" s="86"/>
      <c r="M246" s="54" t="str">
        <f>Spotify!B265</f>
        <v>Thank You For The Music - Doris Day Mix</v>
      </c>
      <c r="N246" s="92" t="str">
        <f>Spotify!D265</f>
        <v>ABBA</v>
      </c>
      <c r="O246" s="92">
        <f>Spotify!E265</f>
        <v>34335</v>
      </c>
      <c r="P246" s="54">
        <f>ROUND(Spotify!U265,0)</f>
        <v>99</v>
      </c>
      <c r="Q246" s="54">
        <f>ROUND(Spotify!L265*100,0)</f>
        <v>29</v>
      </c>
      <c r="R246" s="54">
        <f>ROUND(Spotify!K265*100,0)</f>
        <v>66</v>
      </c>
      <c r="S246" s="54">
        <f>Spotify!N265</f>
        <v>-11.042999999999999</v>
      </c>
      <c r="T246" s="54">
        <f>ROUND(Spotify!T265*100,0)</f>
        <v>54</v>
      </c>
      <c r="U246" s="54">
        <f>ROUND(Spotify!F265/60000,1)</f>
        <v>4.0999999999999996</v>
      </c>
      <c r="V246" s="54">
        <f>ROUND(Spotify!Q265*100,0)</f>
        <v>68</v>
      </c>
      <c r="W246" s="54">
        <f>Spotify!G265</f>
        <v>20</v>
      </c>
    </row>
    <row r="247" spans="1:23" ht="15" x14ac:dyDescent="0.3">
      <c r="A247" s="87">
        <f t="shared" ca="1" si="16"/>
        <v>0.64122022715867388</v>
      </c>
      <c r="B247" s="93" t="s">
        <v>1</v>
      </c>
      <c r="C247" s="94" t="s">
        <v>37</v>
      </c>
      <c r="D247" s="95" t="s">
        <v>386</v>
      </c>
      <c r="E247" s="97" t="s">
        <v>387</v>
      </c>
      <c r="F247" s="94"/>
      <c r="G247" s="96">
        <v>1972</v>
      </c>
      <c r="H247" s="94" t="s">
        <v>13</v>
      </c>
      <c r="I247" s="94"/>
      <c r="J247" s="88" t="s">
        <v>1429</v>
      </c>
      <c r="K247" s="90" t="str">
        <f>CONCATENATE(SUBSTITUTE(Spotify!J266,",",";"),";",J247)</f>
        <v>;oldies;retro;dance;fast;groovy</v>
      </c>
      <c r="L247" s="86"/>
      <c r="M247" s="54" t="str">
        <f>Spotify!B266</f>
        <v>The Animal Song</v>
      </c>
      <c r="N247" s="92" t="str">
        <f>Spotify!D266</f>
        <v>Savage Garden</v>
      </c>
      <c r="O247" s="92">
        <f>Spotify!E266</f>
        <v>36473</v>
      </c>
      <c r="P247" s="54">
        <f>ROUND(Spotify!U266,0)</f>
        <v>116</v>
      </c>
      <c r="Q247" s="54">
        <f>ROUND(Spotify!L266*100,0)</f>
        <v>67</v>
      </c>
      <c r="R247" s="54">
        <f>ROUND(Spotify!K266*100,0)</f>
        <v>65</v>
      </c>
      <c r="S247" s="54">
        <f>Spotify!N266</f>
        <v>-7.6630000000000003</v>
      </c>
      <c r="T247" s="54">
        <f>ROUND(Spotify!T266*100,0)</f>
        <v>83</v>
      </c>
      <c r="U247" s="54">
        <f>ROUND(Spotify!F266/60000,1)</f>
        <v>4.5999999999999996</v>
      </c>
      <c r="V247" s="54">
        <f>ROUND(Spotify!Q266*100,0)</f>
        <v>6</v>
      </c>
      <c r="W247" s="54">
        <f>Spotify!G266</f>
        <v>54</v>
      </c>
    </row>
    <row r="248" spans="1:23" ht="15" x14ac:dyDescent="0.3">
      <c r="A248" s="87"/>
      <c r="B248" s="93" t="s">
        <v>1</v>
      </c>
      <c r="C248" s="94"/>
      <c r="D248" s="95" t="s">
        <v>1747</v>
      </c>
      <c r="E248" s="97" t="s">
        <v>229</v>
      </c>
      <c r="F248" s="94"/>
      <c r="G248" s="96">
        <v>1983</v>
      </c>
      <c r="H248" s="94" t="s">
        <v>12</v>
      </c>
      <c r="I248" s="94" t="s">
        <v>1576</v>
      </c>
      <c r="J248" s="88"/>
      <c r="K248" s="90" t="str">
        <f>CONCATENATE(SUBSTITUTE(Spotify!J267,",",";"),";",J248)</f>
        <v>folk rock;folk;</v>
      </c>
      <c r="L248" s="86"/>
      <c r="M248" s="54" t="str">
        <f>Spotify!B267</f>
        <v>The Boxer</v>
      </c>
      <c r="N248" s="92" t="str">
        <f>Spotify!D267</f>
        <v>Simon &amp; Garfunkel</v>
      </c>
      <c r="O248" s="92">
        <f>Spotify!E267</f>
        <v>25594</v>
      </c>
      <c r="P248" s="54">
        <f>ROUND(Spotify!U267,0)</f>
        <v>93</v>
      </c>
      <c r="Q248" s="54">
        <f>ROUND(Spotify!L267*100,0)</f>
        <v>49</v>
      </c>
      <c r="R248" s="54">
        <f>ROUND(Spotify!K267*100,0)</f>
        <v>44</v>
      </c>
      <c r="S248" s="54">
        <f>Spotify!N267</f>
        <v>-14.464</v>
      </c>
      <c r="T248" s="54">
        <f>ROUND(Spotify!T267*100,0)</f>
        <v>63</v>
      </c>
      <c r="U248" s="54">
        <f>ROUND(Spotify!F267/60000,1)</f>
        <v>5.2</v>
      </c>
      <c r="V248" s="54">
        <f>ROUND(Spotify!Q267*100,0)</f>
        <v>70</v>
      </c>
      <c r="W248" s="54">
        <f>Spotify!G267</f>
        <v>74</v>
      </c>
    </row>
    <row r="249" spans="1:23" ht="15" x14ac:dyDescent="0.3">
      <c r="A249" s="87"/>
      <c r="B249" s="93" t="s">
        <v>1</v>
      </c>
      <c r="C249" s="94"/>
      <c r="D249" s="95" t="s">
        <v>1750</v>
      </c>
      <c r="E249" s="97" t="s">
        <v>206</v>
      </c>
      <c r="F249" s="94"/>
      <c r="G249" s="96">
        <v>2014</v>
      </c>
      <c r="H249" s="94" t="s">
        <v>13</v>
      </c>
      <c r="I249" s="94"/>
      <c r="J249" s="88"/>
      <c r="K249" s="90" t="str">
        <f>CONCATENATE(SUBSTITUTE(Spotify!J268,",",";"),";",J249)</f>
        <v>folk;indie folk;folk rock;</v>
      </c>
      <c r="L249" s="86"/>
      <c r="M249" s="54" t="str">
        <f>Spotify!B268</f>
        <v>The Cave</v>
      </c>
      <c r="N249" s="92" t="str">
        <f>Spotify!D268</f>
        <v>Mumford &amp; Sons</v>
      </c>
      <c r="O249" s="92">
        <f>Spotify!E268</f>
        <v>40088</v>
      </c>
      <c r="P249" s="54">
        <f>ROUND(Spotify!U268,0)</f>
        <v>142</v>
      </c>
      <c r="Q249" s="54">
        <f>ROUND(Spotify!L268*100,0)</f>
        <v>51</v>
      </c>
      <c r="R249" s="54">
        <f>ROUND(Spotify!K268*100,0)</f>
        <v>60</v>
      </c>
      <c r="S249" s="54">
        <f>Spotify!N268</f>
        <v>-9.6820000000000004</v>
      </c>
      <c r="T249" s="54">
        <f>ROUND(Spotify!T268*100,0)</f>
        <v>35</v>
      </c>
      <c r="U249" s="54">
        <f>ROUND(Spotify!F268/60000,1)</f>
        <v>3.6</v>
      </c>
      <c r="V249" s="54">
        <f>ROUND(Spotify!Q268*100,0)</f>
        <v>5</v>
      </c>
      <c r="W249" s="54">
        <f>Spotify!G268</f>
        <v>1</v>
      </c>
    </row>
    <row r="250" spans="1:23" s="53" customFormat="1" ht="15" x14ac:dyDescent="0.3">
      <c r="A250" s="87">
        <f t="shared" ref="A250:A275" ca="1" si="17">RAND()</f>
        <v>7.7033283950753373E-2</v>
      </c>
      <c r="B250" s="93"/>
      <c r="C250" s="94" t="s">
        <v>37</v>
      </c>
      <c r="D250" s="95" t="s">
        <v>566</v>
      </c>
      <c r="E250" s="94" t="s">
        <v>389</v>
      </c>
      <c r="F250" s="94"/>
      <c r="G250" s="96">
        <v>1969</v>
      </c>
      <c r="H250" s="94" t="s">
        <v>13</v>
      </c>
      <c r="I250" s="94"/>
      <c r="J250" s="88" t="s">
        <v>1542</v>
      </c>
      <c r="K250" s="90" t="str">
        <f>CONCATENATE(SUBSTITUTE(Spotify!J269,",",";"),";",J250)</f>
        <v>bossa nova;jazz;brazilian jazz;cool jazz;latin jazz;jazz ballads;oldies;retro;dance;groovy;fast;sweet;love</v>
      </c>
      <c r="L250" s="86"/>
      <c r="M250" s="54" t="str">
        <f>Spotify!B269</f>
        <v>The Girl From Ipanema</v>
      </c>
      <c r="N250" s="92" t="str">
        <f>Spotify!D269</f>
        <v>Stan Getz</v>
      </c>
      <c r="O250" s="92">
        <f>Spotify!E269</f>
        <v>32509</v>
      </c>
      <c r="P250" s="54">
        <f>ROUND(Spotify!U269,0)</f>
        <v>130</v>
      </c>
      <c r="Q250" s="54">
        <f>ROUND(Spotify!L269*100,0)</f>
        <v>19</v>
      </c>
      <c r="R250" s="54">
        <f>ROUND(Spotify!K269*100,0)</f>
        <v>67</v>
      </c>
      <c r="S250" s="54">
        <f>Spotify!N269</f>
        <v>-15.487</v>
      </c>
      <c r="T250" s="54">
        <f>ROUND(Spotify!T269*100,0)</f>
        <v>44</v>
      </c>
      <c r="U250" s="54">
        <f>ROUND(Spotify!F269/60000,1)</f>
        <v>5.4</v>
      </c>
      <c r="V250" s="54">
        <f>ROUND(Spotify!Q269*100,0)</f>
        <v>91</v>
      </c>
      <c r="W250" s="54">
        <f>Spotify!G269</f>
        <v>56</v>
      </c>
    </row>
    <row r="251" spans="1:23" ht="15" x14ac:dyDescent="0.3">
      <c r="A251" s="87">
        <f t="shared" ca="1" si="17"/>
        <v>2.9585218481652187E-2</v>
      </c>
      <c r="B251" s="93" t="s">
        <v>1</v>
      </c>
      <c r="C251" s="94"/>
      <c r="D251" s="95" t="s">
        <v>390</v>
      </c>
      <c r="E251" s="97" t="s">
        <v>391</v>
      </c>
      <c r="F251" s="94"/>
      <c r="G251" s="96">
        <v>1978</v>
      </c>
      <c r="H251" s="94" t="s">
        <v>12</v>
      </c>
      <c r="I251" s="94"/>
      <c r="J251" s="88" t="s">
        <v>1456</v>
      </c>
      <c r="K251" s="90" t="str">
        <f>CONCATENATE(SUBSTITUTE(Spotify!J270,",",";"),";",J251)</f>
        <v>classic rock;oldies;retro;dance;jive;fast</v>
      </c>
      <c r="L251" s="86"/>
      <c r="M251" s="54" t="str">
        <f>Spotify!B270</f>
        <v>The Joker</v>
      </c>
      <c r="N251" s="92" t="str">
        <f>Spotify!D270</f>
        <v>Steve Miller Band</v>
      </c>
      <c r="O251" s="92">
        <f>Spotify!E270</f>
        <v>26665</v>
      </c>
      <c r="P251" s="54">
        <f>ROUND(Spotify!U270,0)</f>
        <v>83</v>
      </c>
      <c r="Q251" s="54">
        <f>ROUND(Spotify!L270*100,0)</f>
        <v>45</v>
      </c>
      <c r="R251" s="54">
        <f>ROUND(Spotify!K270*100,0)</f>
        <v>60</v>
      </c>
      <c r="S251" s="54">
        <f>Spotify!N270</f>
        <v>-9.6159999999999997</v>
      </c>
      <c r="T251" s="54">
        <f>ROUND(Spotify!T270*100,0)</f>
        <v>80</v>
      </c>
      <c r="U251" s="54">
        <f>ROUND(Spotify!F270/60000,1)</f>
        <v>4.4000000000000004</v>
      </c>
      <c r="V251" s="54">
        <f>ROUND(Spotify!Q270*100,0)</f>
        <v>37</v>
      </c>
      <c r="W251" s="54">
        <f>Spotify!G270</f>
        <v>78</v>
      </c>
    </row>
    <row r="252" spans="1:23" ht="15" x14ac:dyDescent="0.3">
      <c r="A252" s="87">
        <f t="shared" ca="1" si="17"/>
        <v>0.18184821070179225</v>
      </c>
      <c r="B252" s="93" t="s">
        <v>1</v>
      </c>
      <c r="C252" s="94" t="s">
        <v>21</v>
      </c>
      <c r="D252" s="95" t="s">
        <v>1332</v>
      </c>
      <c r="E252" s="94" t="s">
        <v>298</v>
      </c>
      <c r="F252" s="94"/>
      <c r="G252" s="96">
        <v>1962</v>
      </c>
      <c r="H252" s="94" t="s">
        <v>13</v>
      </c>
      <c r="I252" s="94"/>
      <c r="J252" s="88" t="s">
        <v>1531</v>
      </c>
      <c r="K252" s="90" t="str">
        <f>CONCATENATE(SUBSTITUTE(Spotify!J271,",",";"),";",J252)</f>
        <v>;oldies;retro;dance;groovy;sweet</v>
      </c>
      <c r="L252" s="86"/>
      <c r="M252" s="54" t="str">
        <f>Spotify!B271</f>
        <v>The Lazy Song</v>
      </c>
      <c r="N252" s="92" t="str">
        <f>Spotify!D271</f>
        <v>Bruno Mars</v>
      </c>
      <c r="O252" s="92">
        <f>Spotify!E271</f>
        <v>40309</v>
      </c>
      <c r="P252" s="54">
        <f>ROUND(Spotify!U271,0)</f>
        <v>175</v>
      </c>
      <c r="Q252" s="54">
        <f>ROUND(Spotify!L271*100,0)</f>
        <v>71</v>
      </c>
      <c r="R252" s="54">
        <f>ROUND(Spotify!K271*100,0)</f>
        <v>79</v>
      </c>
      <c r="S252" s="54">
        <f>Spotify!N271</f>
        <v>-5.1239999999999997</v>
      </c>
      <c r="T252" s="54">
        <f>ROUND(Spotify!T271*100,0)</f>
        <v>96</v>
      </c>
      <c r="U252" s="54">
        <f>ROUND(Spotify!F271/60000,1)</f>
        <v>3.2</v>
      </c>
      <c r="V252" s="54">
        <f>ROUND(Spotify!Q271*100,0)</f>
        <v>30</v>
      </c>
      <c r="W252" s="54">
        <f>Spotify!G271</f>
        <v>78</v>
      </c>
    </row>
    <row r="253" spans="1:23" ht="15" x14ac:dyDescent="0.3">
      <c r="A253" s="87">
        <f t="shared" ca="1" si="17"/>
        <v>0.42121793827067566</v>
      </c>
      <c r="B253" s="93"/>
      <c r="C253" s="94"/>
      <c r="D253" s="95" t="s">
        <v>604</v>
      </c>
      <c r="E253" s="94" t="s">
        <v>138</v>
      </c>
      <c r="F253" s="94"/>
      <c r="G253" s="96">
        <v>1980</v>
      </c>
      <c r="H253" s="94" t="s">
        <v>13</v>
      </c>
      <c r="I253" s="94"/>
      <c r="J253" s="88" t="s">
        <v>1486</v>
      </c>
      <c r="K253" s="90" t="str">
        <f>CONCATENATE(SUBSTITUTE(Spotify!J272,",",";"),";",J253)</f>
        <v>nu metal;oldies;retro;dance;jive;groovy;love</v>
      </c>
      <c r="L253" s="86"/>
      <c r="M253" s="54" t="str">
        <f>Spotify!B272</f>
        <v>The Reason</v>
      </c>
      <c r="N253" s="92" t="str">
        <f>Spotify!D272</f>
        <v>Hoobastank</v>
      </c>
      <c r="O253" s="92">
        <f>Spotify!E272</f>
        <v>37964</v>
      </c>
      <c r="P253" s="54">
        <f>ROUND(Spotify!U272,0)</f>
        <v>83</v>
      </c>
      <c r="Q253" s="54">
        <f>ROUND(Spotify!L272*100,0)</f>
        <v>67</v>
      </c>
      <c r="R253" s="54">
        <f>ROUND(Spotify!K272*100,0)</f>
        <v>47</v>
      </c>
      <c r="S253" s="54">
        <f>Spotify!N272</f>
        <v>-4.649</v>
      </c>
      <c r="T253" s="54">
        <f>ROUND(Spotify!T272*100,0)</f>
        <v>7</v>
      </c>
      <c r="U253" s="54">
        <f>ROUND(Spotify!F272/60000,1)</f>
        <v>3.9</v>
      </c>
      <c r="V253" s="54">
        <f>ROUND(Spotify!Q272*100,0)</f>
        <v>1</v>
      </c>
      <c r="W253" s="54">
        <f>Spotify!G272</f>
        <v>7</v>
      </c>
    </row>
    <row r="254" spans="1:23" ht="15" x14ac:dyDescent="0.3">
      <c r="A254" s="87">
        <f t="shared" ca="1" si="17"/>
        <v>0.21230780188494025</v>
      </c>
      <c r="B254" s="93" t="s">
        <v>1</v>
      </c>
      <c r="C254" s="94" t="s">
        <v>21</v>
      </c>
      <c r="D254" s="95" t="s">
        <v>1641</v>
      </c>
      <c r="E254" s="94" t="s">
        <v>393</v>
      </c>
      <c r="F254" s="94"/>
      <c r="G254" s="96">
        <v>2000</v>
      </c>
      <c r="H254" s="94" t="s">
        <v>12</v>
      </c>
      <c r="I254" s="94" t="s">
        <v>29</v>
      </c>
      <c r="J254" s="88" t="s">
        <v>1485</v>
      </c>
      <c r="K254" s="90" t="str">
        <f>CONCATENATE(SUBSTITUTE(Spotify!J273,",",";"),";",J254)</f>
        <v>;acoustic;alternative;groovy;love</v>
      </c>
      <c r="L254" s="86"/>
      <c r="M254" s="54" t="str">
        <f>Spotify!B273</f>
        <v>The Scientist</v>
      </c>
      <c r="N254" s="92" t="str">
        <f>Spotify!D273</f>
        <v>Coldplay</v>
      </c>
      <c r="O254" s="92">
        <f>Spotify!E273</f>
        <v>37495</v>
      </c>
      <c r="P254" s="54">
        <f>ROUND(Spotify!U273,0)</f>
        <v>146</v>
      </c>
      <c r="Q254" s="54">
        <f>ROUND(Spotify!L273*100,0)</f>
        <v>44</v>
      </c>
      <c r="R254" s="54">
        <f>ROUND(Spotify!K273*100,0)</f>
        <v>56</v>
      </c>
      <c r="S254" s="54">
        <f>Spotify!N273</f>
        <v>-7.2240000000000002</v>
      </c>
      <c r="T254" s="54">
        <f>ROUND(Spotify!T273*100,0)</f>
        <v>21</v>
      </c>
      <c r="U254" s="54">
        <f>ROUND(Spotify!F273/60000,1)</f>
        <v>5.2</v>
      </c>
      <c r="V254" s="54">
        <f>ROUND(Spotify!Q273*100,0)</f>
        <v>73</v>
      </c>
      <c r="W254" s="54">
        <f>Spotify!G273</f>
        <v>89</v>
      </c>
    </row>
    <row r="255" spans="1:23" ht="15" x14ac:dyDescent="0.3">
      <c r="A255" s="87">
        <f t="shared" ca="1" si="17"/>
        <v>0.92424060550154785</v>
      </c>
      <c r="B255" s="93"/>
      <c r="C255" s="94"/>
      <c r="D255" s="95" t="s">
        <v>394</v>
      </c>
      <c r="E255" s="94" t="s">
        <v>28</v>
      </c>
      <c r="F255" s="94"/>
      <c r="G255" s="96">
        <v>2005</v>
      </c>
      <c r="H255" s="94" t="s">
        <v>12</v>
      </c>
      <c r="I255" s="94" t="s">
        <v>29</v>
      </c>
      <c r="J255" s="88" t="s">
        <v>1484</v>
      </c>
      <c r="K255" s="90" t="str">
        <f>CONCATENATE(SUBSTITUTE(Spotify!J274,",",";"),";",J255)</f>
        <v>;slow;love;acoustic</v>
      </c>
      <c r="L255" s="86"/>
      <c r="M255" s="54" t="str">
        <f>Spotify!B274</f>
        <v>The Show</v>
      </c>
      <c r="N255" s="92" t="str">
        <f>Spotify!D274</f>
        <v>Lenka</v>
      </c>
      <c r="O255" s="92">
        <f>Spotify!E274</f>
        <v>39714</v>
      </c>
      <c r="P255" s="54">
        <f>ROUND(Spotify!U274,0)</f>
        <v>123</v>
      </c>
      <c r="Q255" s="54">
        <f>ROUND(Spotify!L274*100,0)</f>
        <v>59</v>
      </c>
      <c r="R255" s="54">
        <f>ROUND(Spotify!K274*100,0)</f>
        <v>75</v>
      </c>
      <c r="S255" s="54">
        <f>Spotify!N274</f>
        <v>-4.1440000000000001</v>
      </c>
      <c r="T255" s="54">
        <f>ROUND(Spotify!T274*100,0)</f>
        <v>59</v>
      </c>
      <c r="U255" s="54">
        <f>ROUND(Spotify!F274/60000,1)</f>
        <v>3.9</v>
      </c>
      <c r="V255" s="54">
        <f>ROUND(Spotify!Q274*100,0)</f>
        <v>26</v>
      </c>
      <c r="W255" s="54">
        <f>Spotify!G274</f>
        <v>59</v>
      </c>
    </row>
    <row r="256" spans="1:23" ht="15" x14ac:dyDescent="0.3">
      <c r="A256" s="87">
        <f t="shared" ca="1" si="17"/>
        <v>0.77158510824906479</v>
      </c>
      <c r="B256" s="93"/>
      <c r="C256" s="94"/>
      <c r="D256" s="95" t="s">
        <v>395</v>
      </c>
      <c r="E256" s="94" t="s">
        <v>176</v>
      </c>
      <c r="F256" s="94" t="s">
        <v>396</v>
      </c>
      <c r="G256" s="96">
        <v>1953</v>
      </c>
      <c r="H256" s="94" t="s">
        <v>81</v>
      </c>
      <c r="I256" s="94"/>
      <c r="J256" s="88" t="s">
        <v>1487</v>
      </c>
      <c r="K256" s="90" t="str">
        <f>CONCATENATE(SUBSTITUTE(Spotify!J275,",",";"),";",J256)</f>
        <v>folk rock;folk;jazz;love;dance;groovy;oldies;retro</v>
      </c>
      <c r="L256" s="86"/>
      <c r="M256" s="54" t="str">
        <f>Spotify!B275</f>
        <v>The Sound of Silence</v>
      </c>
      <c r="N256" s="92" t="str">
        <f>Spotify!D275</f>
        <v>Simon &amp; Garfunkel</v>
      </c>
      <c r="O256" s="92">
        <f>Spotify!E275</f>
        <v>41149</v>
      </c>
      <c r="P256" s="54">
        <f>ROUND(Spotify!U275,0)</f>
        <v>107</v>
      </c>
      <c r="Q256" s="54">
        <f>ROUND(Spotify!L275*100,0)</f>
        <v>23</v>
      </c>
      <c r="R256" s="54">
        <f>ROUND(Spotify!K275*100,0)</f>
        <v>54</v>
      </c>
      <c r="S256" s="54">
        <f>Spotify!N275</f>
        <v>-13.865</v>
      </c>
      <c r="T256" s="54">
        <f>ROUND(Spotify!T275*100,0)</f>
        <v>34</v>
      </c>
      <c r="U256" s="54">
        <f>ROUND(Spotify!F275/60000,1)</f>
        <v>3.1</v>
      </c>
      <c r="V256" s="54">
        <f>ROUND(Spotify!Q275*100,0)</f>
        <v>87</v>
      </c>
      <c r="W256" s="54">
        <f>Spotify!G275</f>
        <v>65</v>
      </c>
    </row>
    <row r="257" spans="1:23" ht="15" x14ac:dyDescent="0.3">
      <c r="A257" s="87">
        <f t="shared" ca="1" si="17"/>
        <v>0.48657059111777834</v>
      </c>
      <c r="B257" s="93"/>
      <c r="C257" s="94" t="s">
        <v>37</v>
      </c>
      <c r="D257" s="95" t="s">
        <v>397</v>
      </c>
      <c r="E257" s="94" t="s">
        <v>398</v>
      </c>
      <c r="F257" s="94"/>
      <c r="G257" s="96">
        <v>1987</v>
      </c>
      <c r="H257" s="94" t="s">
        <v>12</v>
      </c>
      <c r="I257" s="94"/>
      <c r="J257" s="88" t="s">
        <v>1420</v>
      </c>
      <c r="K257" s="90" t="str">
        <f>CONCATENATE(SUBSTITUTE(Spotify!J276,",",";"),";",J257)</f>
        <v>hard rock;aor;metal;heavy metal;dance;fast;groovy;love</v>
      </c>
      <c r="L257" s="86"/>
      <c r="M257" s="54" t="str">
        <f>Spotify!B276</f>
        <v>The Temple Of The King</v>
      </c>
      <c r="N257" s="92" t="str">
        <f>Spotify!D276</f>
        <v>Rainbow</v>
      </c>
      <c r="O257" s="92">
        <f>Spotify!E276</f>
        <v>27395</v>
      </c>
      <c r="P257" s="54">
        <f>ROUND(Spotify!U276,0)</f>
        <v>82</v>
      </c>
      <c r="Q257" s="54">
        <f>ROUND(Spotify!L276*100,0)</f>
        <v>49</v>
      </c>
      <c r="R257" s="54">
        <f>ROUND(Spotify!K276*100,0)</f>
        <v>49</v>
      </c>
      <c r="S257" s="54">
        <f>Spotify!N276</f>
        <v>-11.632999999999999</v>
      </c>
      <c r="T257" s="54">
        <f>ROUND(Spotify!T276*100,0)</f>
        <v>37</v>
      </c>
      <c r="U257" s="54">
        <f>ROUND(Spotify!F276/60000,1)</f>
        <v>4.7</v>
      </c>
      <c r="V257" s="54">
        <f>ROUND(Spotify!Q276*100,0)</f>
        <v>45</v>
      </c>
      <c r="W257" s="54">
        <f>Spotify!G276</f>
        <v>62</v>
      </c>
    </row>
    <row r="258" spans="1:23" ht="15" x14ac:dyDescent="0.3">
      <c r="A258" s="87">
        <f t="shared" ca="1" si="17"/>
        <v>0.74124774377026703</v>
      </c>
      <c r="B258" s="93" t="s">
        <v>1</v>
      </c>
      <c r="C258" s="94" t="s">
        <v>10</v>
      </c>
      <c r="D258" s="95" t="s">
        <v>592</v>
      </c>
      <c r="E258" s="94" t="s">
        <v>593</v>
      </c>
      <c r="F258" s="94"/>
      <c r="G258" s="96">
        <v>1982</v>
      </c>
      <c r="H258" s="94" t="s">
        <v>13</v>
      </c>
      <c r="I258" s="94"/>
      <c r="J258" s="88" t="s">
        <v>1389</v>
      </c>
      <c r="K258" s="90" t="str">
        <f>CONCATENATE(SUBSTITUTE(Spotify!J277,",",";"),";",J258)</f>
        <v>;alternative;groovy</v>
      </c>
      <c r="L258" s="86"/>
      <c r="M258" s="54" t="str">
        <f>Spotify!B277</f>
        <v>The Tide Is High</v>
      </c>
      <c r="N258" s="92" t="str">
        <f>Spotify!D277</f>
        <v>Blondie</v>
      </c>
      <c r="O258" s="92">
        <f>Spotify!E277</f>
        <v>29890</v>
      </c>
      <c r="P258" s="54">
        <f>ROUND(Spotify!U277,0)</f>
        <v>96</v>
      </c>
      <c r="Q258" s="54">
        <f>ROUND(Spotify!L277*100,0)</f>
        <v>58</v>
      </c>
      <c r="R258" s="54">
        <f>ROUND(Spotify!K277*100,0)</f>
        <v>81</v>
      </c>
      <c r="S258" s="54">
        <f>Spotify!N277</f>
        <v>-11.967000000000001</v>
      </c>
      <c r="T258" s="54">
        <f>ROUND(Spotify!T277*100,0)</f>
        <v>97</v>
      </c>
      <c r="U258" s="54">
        <f>ROUND(Spotify!F277/60000,1)</f>
        <v>4.7</v>
      </c>
      <c r="V258" s="54">
        <f>ROUND(Spotify!Q277*100,0)</f>
        <v>28</v>
      </c>
      <c r="W258" s="54">
        <f>Spotify!G277</f>
        <v>51</v>
      </c>
    </row>
    <row r="259" spans="1:23" ht="15" x14ac:dyDescent="0.3">
      <c r="A259" s="87">
        <f t="shared" ca="1" si="17"/>
        <v>0.22641273694850039</v>
      </c>
      <c r="B259" s="93"/>
      <c r="C259" s="94" t="s">
        <v>37</v>
      </c>
      <c r="D259" s="95" t="s">
        <v>789</v>
      </c>
      <c r="E259" s="94" t="s">
        <v>441</v>
      </c>
      <c r="F259" s="94"/>
      <c r="G259" s="96">
        <v>1977</v>
      </c>
      <c r="H259" s="94" t="s">
        <v>13</v>
      </c>
      <c r="I259" s="94" t="s">
        <v>49</v>
      </c>
      <c r="J259" s="88" t="s">
        <v>1544</v>
      </c>
      <c r="K259" s="90" t="str">
        <f>CONCATENATE(SUBSTITUTE(Spotify!J278,",",";"),";",J259)</f>
        <v>folk rock;folk;singer-songwriter;roots rock;oldies;retro;dance;fast;groovy;acoustic;sweet;love</v>
      </c>
      <c r="L259" s="86"/>
      <c r="M259" s="54" t="str">
        <f>Spotify!B278</f>
        <v>The Times They Are A-Changin'</v>
      </c>
      <c r="N259" s="92" t="str">
        <f>Spotify!D278</f>
        <v>Bob Dylan</v>
      </c>
      <c r="O259" s="92">
        <f>Spotify!E278</f>
        <v>23389</v>
      </c>
      <c r="P259" s="54">
        <f>ROUND(Spotify!U278,0)</f>
        <v>172</v>
      </c>
      <c r="Q259" s="54">
        <f>ROUND(Spotify!L278*100,0)</f>
        <v>40</v>
      </c>
      <c r="R259" s="54">
        <f>ROUND(Spotify!K278*100,0)</f>
        <v>39</v>
      </c>
      <c r="S259" s="54">
        <f>Spotify!N278</f>
        <v>-7.9989999999999997</v>
      </c>
      <c r="T259" s="54">
        <f>ROUND(Spotify!T278*100,0)</f>
        <v>59</v>
      </c>
      <c r="U259" s="54">
        <f>ROUND(Spotify!F278/60000,1)</f>
        <v>3.3</v>
      </c>
      <c r="V259" s="54">
        <f>ROUND(Spotify!Q278*100,0)</f>
        <v>89</v>
      </c>
      <c r="W259" s="54">
        <f>Spotify!G278</f>
        <v>69</v>
      </c>
    </row>
    <row r="260" spans="1:23" ht="15" x14ac:dyDescent="0.3">
      <c r="A260" s="87">
        <f t="shared" ca="1" si="17"/>
        <v>0.2990843998707553</v>
      </c>
      <c r="B260" s="93"/>
      <c r="C260" s="94"/>
      <c r="D260" s="95" t="s">
        <v>605</v>
      </c>
      <c r="E260" s="94" t="s">
        <v>138</v>
      </c>
      <c r="F260" s="94"/>
      <c r="G260" s="96">
        <v>1977</v>
      </c>
      <c r="H260" s="94" t="s">
        <v>13</v>
      </c>
      <c r="I260" s="94"/>
      <c r="J260" s="88" t="s">
        <v>1488</v>
      </c>
      <c r="K260" s="90" t="str">
        <f>CONCATENATE(SUBSTITUTE(Spotify!J279,",",";"),";",J260)</f>
        <v>;dance;jive;oldies;retro;love</v>
      </c>
      <c r="L260" s="86"/>
      <c r="M260" s="54" t="str">
        <f>Spotify!B279</f>
        <v>The Way</v>
      </c>
      <c r="N260" s="92" t="str">
        <f>Spotify!D279</f>
        <v>Fastball</v>
      </c>
      <c r="O260" s="92">
        <f>Spotify!E279</f>
        <v>35796</v>
      </c>
      <c r="P260" s="54">
        <f>ROUND(Spotify!U279,0)</f>
        <v>121</v>
      </c>
      <c r="Q260" s="54">
        <f>ROUND(Spotify!L279*100,0)</f>
        <v>88</v>
      </c>
      <c r="R260" s="54">
        <f>ROUND(Spotify!K279*100,0)</f>
        <v>65</v>
      </c>
      <c r="S260" s="54">
        <f>Spotify!N279</f>
        <v>-5.6479999999999997</v>
      </c>
      <c r="T260" s="54">
        <f>ROUND(Spotify!T279*100,0)</f>
        <v>91</v>
      </c>
      <c r="U260" s="54">
        <f>ROUND(Spotify!F279/60000,1)</f>
        <v>4.3</v>
      </c>
      <c r="V260" s="54">
        <f>ROUND(Spotify!Q279*100,0)</f>
        <v>14</v>
      </c>
      <c r="W260" s="54">
        <f>Spotify!G279</f>
        <v>70</v>
      </c>
    </row>
    <row r="261" spans="1:23" ht="15" x14ac:dyDescent="0.3">
      <c r="A261" s="87">
        <f t="shared" ca="1" si="17"/>
        <v>4.1629987664133838E-2</v>
      </c>
      <c r="B261" s="93"/>
      <c r="C261" s="94" t="s">
        <v>10</v>
      </c>
      <c r="D261" s="95" t="s">
        <v>399</v>
      </c>
      <c r="E261" s="94" t="s">
        <v>400</v>
      </c>
      <c r="F261" s="94"/>
      <c r="G261" s="96">
        <v>1959</v>
      </c>
      <c r="H261" s="94" t="s">
        <v>59</v>
      </c>
      <c r="I261" s="94"/>
      <c r="J261" s="88" t="s">
        <v>1489</v>
      </c>
      <c r="K261" s="90" t="str">
        <f>CONCATENATE(SUBSTITUTE(Spotify!J280,",",";"),";",J261)</f>
        <v>;jazz;acoustic;groovy;oldies;retro</v>
      </c>
      <c r="L261" s="86"/>
      <c r="M261" s="54" t="str">
        <f>Spotify!B280</f>
        <v>The Way I Am</v>
      </c>
      <c r="N261" s="92" t="str">
        <f>Spotify!D280</f>
        <v>Ingrid Michaelson</v>
      </c>
      <c r="O261" s="92">
        <f>Spotify!E280</f>
        <v>39083</v>
      </c>
      <c r="P261" s="54">
        <f>ROUND(Spotify!U280,0)</f>
        <v>120</v>
      </c>
      <c r="Q261" s="54">
        <f>ROUND(Spotify!L280*100,0)</f>
        <v>26</v>
      </c>
      <c r="R261" s="54">
        <f>ROUND(Spotify!K280*100,0)</f>
        <v>88</v>
      </c>
      <c r="S261" s="54">
        <f>Spotify!N280</f>
        <v>-9.3019999999999996</v>
      </c>
      <c r="T261" s="54">
        <f>ROUND(Spotify!T280*100,0)</f>
        <v>32</v>
      </c>
      <c r="U261" s="54">
        <f>ROUND(Spotify!F280/60000,1)</f>
        <v>2.2999999999999998</v>
      </c>
      <c r="V261" s="54">
        <f>ROUND(Spotify!Q280*100,0)</f>
        <v>77</v>
      </c>
      <c r="W261" s="54">
        <f>Spotify!G280</f>
        <v>53</v>
      </c>
    </row>
    <row r="262" spans="1:23" ht="15" x14ac:dyDescent="0.3">
      <c r="A262" s="87">
        <f t="shared" ca="1" si="17"/>
        <v>0.99989972227091362</v>
      </c>
      <c r="B262" s="93" t="s">
        <v>1</v>
      </c>
      <c r="C262" s="94"/>
      <c r="D262" s="95" t="s">
        <v>401</v>
      </c>
      <c r="E262" s="94" t="s">
        <v>402</v>
      </c>
      <c r="F262" s="94"/>
      <c r="G262" s="96">
        <v>2014</v>
      </c>
      <c r="H262" s="94" t="s">
        <v>76</v>
      </c>
      <c r="I262" s="94" t="s">
        <v>43</v>
      </c>
      <c r="J262" s="88" t="s">
        <v>1396</v>
      </c>
      <c r="K262" s="90" t="str">
        <f>CONCATENATE(SUBSTITUTE(Spotify!J281,",",";"),";",J262)</f>
        <v>christmas;big band;adult standards;swing music;jazz;vocal jazz;acoustic;alternative;love</v>
      </c>
      <c r="L262" s="86"/>
      <c r="M262" s="54" t="str">
        <f>Spotify!B281</f>
        <v>The Way You Look Tonight</v>
      </c>
      <c r="N262" s="92" t="str">
        <f>Spotify!D281</f>
        <v>Frank Sinatra</v>
      </c>
      <c r="O262" s="92">
        <f>Spotify!E281</f>
        <v>1964</v>
      </c>
      <c r="P262" s="54">
        <f>ROUND(Spotify!U281,0)</f>
        <v>132</v>
      </c>
      <c r="Q262" s="54">
        <f>ROUND(Spotify!L281*100,0)</f>
        <v>24</v>
      </c>
      <c r="R262" s="54">
        <f>ROUND(Spotify!K281*100,0)</f>
        <v>62</v>
      </c>
      <c r="S262" s="54">
        <f>Spotify!N281</f>
        <v>-14.067</v>
      </c>
      <c r="T262" s="54">
        <f>ROUND(Spotify!T281*100,0)</f>
        <v>59</v>
      </c>
      <c r="U262" s="54">
        <f>ROUND(Spotify!F281/60000,1)</f>
        <v>3.4</v>
      </c>
      <c r="V262" s="54">
        <f>ROUND(Spotify!Q281*100,0)</f>
        <v>80</v>
      </c>
      <c r="W262" s="54">
        <f>Spotify!G281</f>
        <v>70</v>
      </c>
    </row>
    <row r="263" spans="1:23" ht="15" x14ac:dyDescent="0.3">
      <c r="A263" s="87">
        <f t="shared" ca="1" si="17"/>
        <v>0.18862974431937352</v>
      </c>
      <c r="B263" s="93"/>
      <c r="C263" s="94"/>
      <c r="D263" s="95" t="s">
        <v>403</v>
      </c>
      <c r="E263" s="94" t="s">
        <v>64</v>
      </c>
      <c r="F263" s="94"/>
      <c r="G263" s="96">
        <v>1992</v>
      </c>
      <c r="H263" s="94" t="s">
        <v>12</v>
      </c>
      <c r="I263" s="94" t="s">
        <v>33</v>
      </c>
      <c r="J263" s="88" t="s">
        <v>1484</v>
      </c>
      <c r="K263" s="90" t="str">
        <f>CONCATENATE(SUBSTITUTE(Spotify!J282,",",";"),";",J263)</f>
        <v>;slow;love;acoustic</v>
      </c>
      <c r="L263" s="86"/>
      <c r="M263" s="54" t="str">
        <f>Spotify!B282</f>
        <v>The Way You Make Me Feel</v>
      </c>
      <c r="N263" s="92" t="str">
        <f>Spotify!D282</f>
        <v>Michael Jackson</v>
      </c>
      <c r="O263" s="92">
        <f>Spotify!E282</f>
        <v>34866</v>
      </c>
      <c r="P263" s="54">
        <f>ROUND(Spotify!U282,0)</f>
        <v>114</v>
      </c>
      <c r="Q263" s="54">
        <f>ROUND(Spotify!L282*100,0)</f>
        <v>82</v>
      </c>
      <c r="R263" s="54">
        <f>ROUND(Spotify!K282*100,0)</f>
        <v>61</v>
      </c>
      <c r="S263" s="54">
        <f>Spotify!N282</f>
        <v>-5.9260000000000002</v>
      </c>
      <c r="T263" s="54">
        <f>ROUND(Spotify!T282*100,0)</f>
        <v>51</v>
      </c>
      <c r="U263" s="54">
        <f>ROUND(Spotify!F282/60000,1)</f>
        <v>5</v>
      </c>
      <c r="V263" s="54">
        <f>ROUND(Spotify!Q282*100,0)</f>
        <v>4</v>
      </c>
      <c r="W263" s="54">
        <f>Spotify!G282</f>
        <v>64</v>
      </c>
    </row>
    <row r="264" spans="1:23" ht="15" x14ac:dyDescent="0.3">
      <c r="A264" s="87">
        <f t="shared" ca="1" si="17"/>
        <v>0.90421422072498592</v>
      </c>
      <c r="B264" s="93" t="s">
        <v>1</v>
      </c>
      <c r="C264" s="94" t="s">
        <v>148</v>
      </c>
      <c r="D264" s="95" t="s">
        <v>404</v>
      </c>
      <c r="E264" s="94" t="s">
        <v>350</v>
      </c>
      <c r="F264" s="94"/>
      <c r="G264" s="96">
        <v>1966</v>
      </c>
      <c r="H264" s="94" t="s">
        <v>13</v>
      </c>
      <c r="I264" s="94"/>
      <c r="J264" s="88" t="s">
        <v>1536</v>
      </c>
      <c r="K264" s="90" t="str">
        <f>CONCATENATE(SUBSTITUTE(Spotify!J283,",",";"),";",J264)</f>
        <v>;dance;love;oldies;retro;fast;acoustic;sweet</v>
      </c>
      <c r="L264" s="86"/>
      <c r="M264" s="54" t="str">
        <f>Spotify!B283</f>
        <v>The Winner Takes It All</v>
      </c>
      <c r="N264" s="92" t="str">
        <f>Spotify!D283</f>
        <v>ABBA</v>
      </c>
      <c r="O264" s="92">
        <f>Spotify!E283</f>
        <v>1980</v>
      </c>
      <c r="P264" s="54">
        <f>ROUND(Spotify!U283,0)</f>
        <v>126</v>
      </c>
      <c r="Q264" s="54">
        <f>ROUND(Spotify!L283*100,0)</f>
        <v>79</v>
      </c>
      <c r="R264" s="54">
        <f>ROUND(Spotify!K283*100,0)</f>
        <v>45</v>
      </c>
      <c r="S264" s="54">
        <f>Spotify!N283</f>
        <v>-6.7480000000000002</v>
      </c>
      <c r="T264" s="54">
        <f>ROUND(Spotify!T283*100,0)</f>
        <v>52</v>
      </c>
      <c r="U264" s="54">
        <f>ROUND(Spotify!F283/60000,1)</f>
        <v>4.9000000000000004</v>
      </c>
      <c r="V264" s="54">
        <f>ROUND(Spotify!Q283*100,0)</f>
        <v>57</v>
      </c>
      <c r="W264" s="54">
        <f>Spotify!G283</f>
        <v>87</v>
      </c>
    </row>
    <row r="265" spans="1:23" ht="15" x14ac:dyDescent="0.3">
      <c r="A265" s="87">
        <f t="shared" ca="1" si="17"/>
        <v>0.38108503607460209</v>
      </c>
      <c r="B265" s="93"/>
      <c r="C265" s="94"/>
      <c r="D265" s="95" t="s">
        <v>606</v>
      </c>
      <c r="E265" s="94" t="s">
        <v>138</v>
      </c>
      <c r="F265" s="94"/>
      <c r="G265" s="96">
        <v>1977</v>
      </c>
      <c r="H265" s="94" t="s">
        <v>13</v>
      </c>
      <c r="I265" s="94"/>
      <c r="J265" s="88" t="s">
        <v>1471</v>
      </c>
      <c r="K265" s="90" t="str">
        <f>CONCATENATE(SUBSTITUTE(Spotify!J284,",",";"),";",J265)</f>
        <v>;oldies;retro;dance;groovy</v>
      </c>
      <c r="L265" s="86"/>
      <c r="M265" s="54" t="str">
        <f>Spotify!B284</f>
        <v>There She Goes</v>
      </c>
      <c r="N265" s="92" t="str">
        <f>Spotify!D284</f>
        <v>Sixpence None The Richer</v>
      </c>
      <c r="O265" s="92">
        <f>Spotify!E284</f>
        <v>35756</v>
      </c>
      <c r="P265" s="54">
        <f>ROUND(Spotify!U284,0)</f>
        <v>120</v>
      </c>
      <c r="Q265" s="54">
        <f>ROUND(Spotify!L284*100,0)</f>
        <v>79</v>
      </c>
      <c r="R265" s="54">
        <f>ROUND(Spotify!K284*100,0)</f>
        <v>50</v>
      </c>
      <c r="S265" s="54">
        <f>Spotify!N284</f>
        <v>-5.7240000000000002</v>
      </c>
      <c r="T265" s="54">
        <f>ROUND(Spotify!T284*100,0)</f>
        <v>46</v>
      </c>
      <c r="U265" s="54">
        <f>ROUND(Spotify!F284/60000,1)</f>
        <v>2.7</v>
      </c>
      <c r="V265" s="54">
        <f>ROUND(Spotify!Q284*100,0)</f>
        <v>0</v>
      </c>
      <c r="W265" s="54">
        <f>Spotify!G284</f>
        <v>70</v>
      </c>
    </row>
    <row r="266" spans="1:23" ht="15" x14ac:dyDescent="0.3">
      <c r="A266" s="87">
        <f t="shared" ca="1" si="17"/>
        <v>0.3407625191143433</v>
      </c>
      <c r="B266" s="93" t="s">
        <v>1</v>
      </c>
      <c r="C266" s="94" t="s">
        <v>14</v>
      </c>
      <c r="D266" s="95" t="s">
        <v>405</v>
      </c>
      <c r="E266" s="94" t="s">
        <v>406</v>
      </c>
      <c r="F266" s="94"/>
      <c r="G266" s="96">
        <v>1999</v>
      </c>
      <c r="H266" s="94" t="s">
        <v>13</v>
      </c>
      <c r="I266" s="94"/>
      <c r="J266" s="88" t="s">
        <v>1490</v>
      </c>
      <c r="K266" s="90" t="str">
        <f>CONCATENATE(SUBSTITUTE(Spotify!J285,",",";"),";",J266)</f>
        <v>soft pop;dance;fast;groovy;alternative</v>
      </c>
      <c r="L266" s="86"/>
      <c r="M266" s="54" t="str">
        <f>Spotify!B285</f>
        <v>Thinking out Loud</v>
      </c>
      <c r="N266" s="92" t="str">
        <f>Spotify!D285</f>
        <v>Ed Sheeran</v>
      </c>
      <c r="O266" s="92">
        <f>Spotify!E285</f>
        <v>41811</v>
      </c>
      <c r="P266" s="54">
        <f>ROUND(Spotify!U285,0)</f>
        <v>79</v>
      </c>
      <c r="Q266" s="54">
        <f>ROUND(Spotify!L285*100,0)</f>
        <v>45</v>
      </c>
      <c r="R266" s="54">
        <f>ROUND(Spotify!K285*100,0)</f>
        <v>78</v>
      </c>
      <c r="S266" s="54">
        <f>Spotify!N285</f>
        <v>-6.0609999999999999</v>
      </c>
      <c r="T266" s="54">
        <f>ROUND(Spotify!T285*100,0)</f>
        <v>59</v>
      </c>
      <c r="U266" s="54">
        <f>ROUND(Spotify!F285/60000,1)</f>
        <v>4.7</v>
      </c>
      <c r="V266" s="54">
        <f>ROUND(Spotify!Q285*100,0)</f>
        <v>47</v>
      </c>
      <c r="W266" s="54">
        <f>Spotify!G285</f>
        <v>86</v>
      </c>
    </row>
    <row r="267" spans="1:23" ht="15" x14ac:dyDescent="0.3">
      <c r="A267" s="87">
        <f t="shared" ca="1" si="17"/>
        <v>0.28635144958162517</v>
      </c>
      <c r="B267" s="93" t="s">
        <v>1</v>
      </c>
      <c r="C267" s="94" t="s">
        <v>93</v>
      </c>
      <c r="D267" s="95" t="s">
        <v>407</v>
      </c>
      <c r="E267" s="94" t="s">
        <v>62</v>
      </c>
      <c r="F267" s="94"/>
      <c r="G267" s="96">
        <v>1970</v>
      </c>
      <c r="H267" s="94" t="s">
        <v>12</v>
      </c>
      <c r="I267" s="94" t="s">
        <v>63</v>
      </c>
      <c r="J267" s="88" t="s">
        <v>1491</v>
      </c>
      <c r="K267" s="90" t="str">
        <f>CONCATENATE(SUBSTITUTE(Spotify!J286,",",";"),";",J267)</f>
        <v>;oldies;retro;acoustic</v>
      </c>
      <c r="L267" s="86"/>
      <c r="M267" s="54" t="str">
        <f>Spotify!B286</f>
        <v>This Is The Life</v>
      </c>
      <c r="N267" s="92" t="str">
        <f>Spotify!D286</f>
        <v>Amy Macdonald</v>
      </c>
      <c r="O267" s="92">
        <f>Spotify!E286</f>
        <v>2007</v>
      </c>
      <c r="P267" s="54">
        <f>ROUND(Spotify!U286,0)</f>
        <v>190</v>
      </c>
      <c r="Q267" s="54">
        <f>ROUND(Spotify!L286*100,0)</f>
        <v>88</v>
      </c>
      <c r="R267" s="54">
        <f>ROUND(Spotify!K286*100,0)</f>
        <v>51</v>
      </c>
      <c r="S267" s="54">
        <f>Spotify!N286</f>
        <v>-5.0430000000000001</v>
      </c>
      <c r="T267" s="54">
        <f>ROUND(Spotify!T286*100,0)</f>
        <v>87</v>
      </c>
      <c r="U267" s="54">
        <f>ROUND(Spotify!F286/60000,1)</f>
        <v>3.1</v>
      </c>
      <c r="V267" s="54">
        <f>ROUND(Spotify!Q286*100,0)</f>
        <v>27</v>
      </c>
      <c r="W267" s="54">
        <f>Spotify!G286</f>
        <v>48</v>
      </c>
    </row>
    <row r="268" spans="1:23" ht="15" x14ac:dyDescent="0.3">
      <c r="A268" s="87">
        <f t="shared" ca="1" si="17"/>
        <v>0.60991635670363198</v>
      </c>
      <c r="B268" s="93" t="s">
        <v>1</v>
      </c>
      <c r="C268" s="94" t="s">
        <v>21</v>
      </c>
      <c r="D268" s="95" t="s">
        <v>408</v>
      </c>
      <c r="E268" s="94" t="s">
        <v>409</v>
      </c>
      <c r="F268" s="94"/>
      <c r="G268" s="96">
        <v>2009</v>
      </c>
      <c r="H268" s="94" t="s">
        <v>12</v>
      </c>
      <c r="I268" s="94" t="s">
        <v>63</v>
      </c>
      <c r="J268" s="88" t="s">
        <v>1450</v>
      </c>
      <c r="K268" s="90" t="str">
        <f>CONCATENATE(SUBSTITUTE(Spotify!J287,",",";"),";",J268)</f>
        <v>pop;acoustic;alternative</v>
      </c>
      <c r="L268" s="86"/>
      <c r="M268" s="54" t="str">
        <f>Spotify!B287</f>
        <v>This Love</v>
      </c>
      <c r="N268" s="92" t="str">
        <f>Spotify!D287</f>
        <v>Maroon 5</v>
      </c>
      <c r="O268" s="92">
        <f>Spotify!E287</f>
        <v>2002</v>
      </c>
      <c r="P268" s="54">
        <f>ROUND(Spotify!U287,0)</f>
        <v>95</v>
      </c>
      <c r="Q268" s="54">
        <f>ROUND(Spotify!L287*100,0)</f>
        <v>86</v>
      </c>
      <c r="R268" s="54">
        <f>ROUND(Spotify!K287*100,0)</f>
        <v>71</v>
      </c>
      <c r="S268" s="54">
        <f>Spotify!N287</f>
        <v>-4.6120000000000001</v>
      </c>
      <c r="T268" s="54">
        <f>ROUND(Spotify!T287*100,0)</f>
        <v>81</v>
      </c>
      <c r="U268" s="54">
        <f>ROUND(Spotify!F287/60000,1)</f>
        <v>3.4</v>
      </c>
      <c r="V268" s="54">
        <f>ROUND(Spotify!Q287*100,0)</f>
        <v>5</v>
      </c>
      <c r="W268" s="54">
        <f>Spotify!G287</f>
        <v>88</v>
      </c>
    </row>
    <row r="269" spans="1:23" ht="15" x14ac:dyDescent="0.3">
      <c r="A269" s="87">
        <f t="shared" ca="1" si="17"/>
        <v>0.37903088932161877</v>
      </c>
      <c r="B269" s="99" t="s">
        <v>1</v>
      </c>
      <c r="C269" s="97" t="s">
        <v>30</v>
      </c>
      <c r="D269" s="100" t="s">
        <v>410</v>
      </c>
      <c r="E269" s="97" t="s">
        <v>411</v>
      </c>
      <c r="F269" s="97"/>
      <c r="G269" s="98">
        <v>1964</v>
      </c>
      <c r="H269" s="97" t="s">
        <v>351</v>
      </c>
      <c r="I269" s="97"/>
      <c r="J269" s="88" t="s">
        <v>1492</v>
      </c>
      <c r="K269" s="90" t="str">
        <f>CONCATENATE(SUBSTITUTE(Spotify!J288,",",";"),";",J269)</f>
        <v>;oldies;retro;acoustic;jazz;groovy</v>
      </c>
      <c r="L269" s="86"/>
      <c r="M269" s="54" t="str">
        <f>Spotify!B288</f>
        <v>Til You're Home - Acoustic Mix</v>
      </c>
      <c r="N269" s="92" t="str">
        <f>Spotify!D288</f>
        <v>David Hodges</v>
      </c>
      <c r="O269" s="92">
        <f>Spotify!E288</f>
        <v>44925</v>
      </c>
      <c r="P269" s="54">
        <f>ROUND(Spotify!U288,0)</f>
        <v>113</v>
      </c>
      <c r="Q269" s="54">
        <f>ROUND(Spotify!L288*100,0)</f>
        <v>4</v>
      </c>
      <c r="R269" s="54">
        <f>ROUND(Spotify!K288*100,0)</f>
        <v>66</v>
      </c>
      <c r="S269" s="54">
        <f>Spotify!N288</f>
        <v>-26.574000000000002</v>
      </c>
      <c r="T269" s="54">
        <f>ROUND(Spotify!T288*100,0)</f>
        <v>38</v>
      </c>
      <c r="U269" s="54">
        <f>ROUND(Spotify!F288/60000,1)</f>
        <v>2.8</v>
      </c>
      <c r="V269" s="54">
        <f>ROUND(Spotify!Q288*100,0)</f>
        <v>81</v>
      </c>
      <c r="W269" s="54">
        <f>Spotify!G288</f>
        <v>47</v>
      </c>
    </row>
    <row r="270" spans="1:23" ht="15" x14ac:dyDescent="0.3">
      <c r="A270" s="87">
        <f t="shared" ca="1" si="17"/>
        <v>0.93249875921571723</v>
      </c>
      <c r="B270" s="93" t="s">
        <v>1</v>
      </c>
      <c r="C270" s="94" t="s">
        <v>14</v>
      </c>
      <c r="D270" s="95" t="s">
        <v>412</v>
      </c>
      <c r="E270" s="94" t="s">
        <v>413</v>
      </c>
      <c r="F270" s="94"/>
      <c r="G270" s="96">
        <v>2002</v>
      </c>
      <c r="H270" s="94" t="s">
        <v>12</v>
      </c>
      <c r="I270" s="94" t="s">
        <v>66</v>
      </c>
      <c r="J270" s="88" t="s">
        <v>1493</v>
      </c>
      <c r="K270" s="90" t="str">
        <f>CONCATENATE(SUBSTITUTE(Spotify!J289,",",";"),";",J270)</f>
        <v>classic rock;psychedelic rock;acoustic;groovy;dance;slow</v>
      </c>
      <c r="L270" s="86"/>
      <c r="M270" s="54" t="str">
        <f>Spotify!B289</f>
        <v>Till There Was You - Remastered 2009</v>
      </c>
      <c r="N270" s="92" t="str">
        <f>Spotify!D289</f>
        <v>The Beatles</v>
      </c>
      <c r="O270" s="92">
        <f>Spotify!E289</f>
        <v>23337</v>
      </c>
      <c r="P270" s="54">
        <f>ROUND(Spotify!U289,0)</f>
        <v>122</v>
      </c>
      <c r="Q270" s="54">
        <f>ROUND(Spotify!L289*100,0)</f>
        <v>34</v>
      </c>
      <c r="R270" s="54">
        <f>ROUND(Spotify!K289*100,0)</f>
        <v>73</v>
      </c>
      <c r="S270" s="54">
        <f>Spotify!N289</f>
        <v>-13.887</v>
      </c>
      <c r="T270" s="54">
        <f>ROUND(Spotify!T289*100,0)</f>
        <v>65</v>
      </c>
      <c r="U270" s="54">
        <f>ROUND(Spotify!F289/60000,1)</f>
        <v>2.2000000000000002</v>
      </c>
      <c r="V270" s="54">
        <f>ROUND(Spotify!Q289*100,0)</f>
        <v>79</v>
      </c>
      <c r="W270" s="54">
        <f>Spotify!G289</f>
        <v>66</v>
      </c>
    </row>
    <row r="271" spans="1:23" ht="15" x14ac:dyDescent="0.3">
      <c r="A271" s="87">
        <f t="shared" ca="1" si="17"/>
        <v>0.30378631268089851</v>
      </c>
      <c r="B271" s="99" t="s">
        <v>1</v>
      </c>
      <c r="C271" s="97" t="s">
        <v>46</v>
      </c>
      <c r="D271" s="89" t="s">
        <v>414</v>
      </c>
      <c r="E271" s="97" t="s">
        <v>126</v>
      </c>
      <c r="F271" s="97"/>
      <c r="G271" s="98">
        <v>2011</v>
      </c>
      <c r="H271" s="97" t="s">
        <v>70</v>
      </c>
      <c r="I271" s="97" t="s">
        <v>13</v>
      </c>
      <c r="J271" s="90" t="s">
        <v>1465</v>
      </c>
      <c r="K271" s="90" t="str">
        <f>CONCATENATE(SUBSTITUTE(Spotify!J290,",",";"),";",J271)</f>
        <v>;groovy;dance;acoustic;alternative</v>
      </c>
      <c r="L271" s="86"/>
      <c r="M271" s="54" t="str">
        <f>Spotify!B290</f>
        <v>Time After Time (Time After Time)</v>
      </c>
      <c r="N271" s="92" t="str">
        <f>Spotify!D290</f>
        <v>Eva Cassidy</v>
      </c>
      <c r="O271" s="92">
        <f>Spotify!E290</f>
        <v>36697</v>
      </c>
      <c r="P271" s="54">
        <f>ROUND(Spotify!U290,0)</f>
        <v>181</v>
      </c>
      <c r="Q271" s="54">
        <f>ROUND(Spotify!L290*100,0)</f>
        <v>15</v>
      </c>
      <c r="R271" s="54">
        <f>ROUND(Spotify!K290*100,0)</f>
        <v>38</v>
      </c>
      <c r="S271" s="54">
        <f>Spotify!N290</f>
        <v>-13.145</v>
      </c>
      <c r="T271" s="54">
        <f>ROUND(Spotify!T290*100,0)</f>
        <v>22</v>
      </c>
      <c r="U271" s="54">
        <f>ROUND(Spotify!F290/60000,1)</f>
        <v>4</v>
      </c>
      <c r="V271" s="54">
        <f>ROUND(Spotify!Q290*100,0)</f>
        <v>92</v>
      </c>
      <c r="W271" s="54">
        <f>Spotify!G290</f>
        <v>58</v>
      </c>
    </row>
    <row r="272" spans="1:23" ht="15" x14ac:dyDescent="0.3">
      <c r="A272" s="87">
        <f t="shared" ca="1" si="17"/>
        <v>0.9587350250733242</v>
      </c>
      <c r="B272" s="99"/>
      <c r="C272" s="97"/>
      <c r="D272" s="89" t="s">
        <v>415</v>
      </c>
      <c r="E272" s="97" t="s">
        <v>416</v>
      </c>
      <c r="F272" s="97"/>
      <c r="G272" s="98">
        <v>2003</v>
      </c>
      <c r="H272" s="97" t="s">
        <v>12</v>
      </c>
      <c r="I272" s="97" t="s">
        <v>13</v>
      </c>
      <c r="J272" s="88" t="s">
        <v>1398</v>
      </c>
      <c r="K272" s="90" t="str">
        <f>CONCATENATE(SUBSTITUTE(Spotify!J291,",",";"),";",J272)</f>
        <v>folk rock;singer-songwriter;alternative;acoustic</v>
      </c>
      <c r="L272" s="86"/>
      <c r="M272" s="54" t="str">
        <f>Spotify!B291</f>
        <v>Time in a Bottle</v>
      </c>
      <c r="N272" s="92" t="str">
        <f>Spotify!D291</f>
        <v>Jim Croce</v>
      </c>
      <c r="O272" s="92">
        <f>Spotify!E291</f>
        <v>26390</v>
      </c>
      <c r="P272" s="54">
        <f>ROUND(Spotify!U291,0)</f>
        <v>134</v>
      </c>
      <c r="Q272" s="54">
        <f>ROUND(Spotify!L291*100,0)</f>
        <v>27</v>
      </c>
      <c r="R272" s="54">
        <f>ROUND(Spotify!K291*100,0)</f>
        <v>54</v>
      </c>
      <c r="S272" s="54">
        <f>Spotify!N291</f>
        <v>-11.952</v>
      </c>
      <c r="T272" s="54">
        <f>ROUND(Spotify!T291*100,0)</f>
        <v>70</v>
      </c>
      <c r="U272" s="54">
        <f>ROUND(Spotify!F291/60000,1)</f>
        <v>2.4</v>
      </c>
      <c r="V272" s="54">
        <f>ROUND(Spotify!Q291*100,0)</f>
        <v>85</v>
      </c>
      <c r="W272" s="54">
        <f>Spotify!G291</f>
        <v>1</v>
      </c>
    </row>
    <row r="273" spans="1:23" ht="15" x14ac:dyDescent="0.3">
      <c r="A273" s="87">
        <f t="shared" ca="1" si="17"/>
        <v>0.79509938981786155</v>
      </c>
      <c r="B273" s="93"/>
      <c r="C273" s="94"/>
      <c r="D273" s="95" t="s">
        <v>417</v>
      </c>
      <c r="E273" s="94" t="s">
        <v>28</v>
      </c>
      <c r="F273" s="94"/>
      <c r="G273" s="96">
        <v>2002</v>
      </c>
      <c r="H273" s="94" t="s">
        <v>12</v>
      </c>
      <c r="I273" s="94" t="s">
        <v>29</v>
      </c>
      <c r="J273" s="88" t="s">
        <v>1545</v>
      </c>
      <c r="K273" s="90" t="str">
        <f>CONCATENATE(SUBSTITUTE(Spotify!J292,",",";"),";",J273)</f>
        <v>jazz pop;alternative;slow;acoustic;love</v>
      </c>
      <c r="L273" s="86"/>
      <c r="M273" s="54" t="str">
        <f>Spotify!B292</f>
        <v>Titanium (Acoustic)</v>
      </c>
      <c r="N273" s="92" t="str">
        <f>Spotify!D292</f>
        <v>Shannon &amp; Keast</v>
      </c>
      <c r="O273" s="92">
        <f>Spotify!E292</f>
        <v>44276</v>
      </c>
      <c r="P273" s="54">
        <f>ROUND(Spotify!U292,0)</f>
        <v>118</v>
      </c>
      <c r="Q273" s="54">
        <f>ROUND(Spotify!L292*100,0)</f>
        <v>15</v>
      </c>
      <c r="R273" s="54">
        <f>ROUND(Spotify!K292*100,0)</f>
        <v>50</v>
      </c>
      <c r="S273" s="54">
        <f>Spotify!N292</f>
        <v>-9.1240000000000006</v>
      </c>
      <c r="T273" s="54">
        <f>ROUND(Spotify!T292*100,0)</f>
        <v>15</v>
      </c>
      <c r="U273" s="54">
        <f>ROUND(Spotify!F292/60000,1)</f>
        <v>3.7</v>
      </c>
      <c r="V273" s="54">
        <f>ROUND(Spotify!Q292*100,0)</f>
        <v>89</v>
      </c>
      <c r="W273" s="54">
        <f>Spotify!G292</f>
        <v>35</v>
      </c>
    </row>
    <row r="274" spans="1:23" ht="15" x14ac:dyDescent="0.3">
      <c r="A274" s="87">
        <f t="shared" ca="1" si="17"/>
        <v>0.87492126464093256</v>
      </c>
      <c r="B274" s="93" t="s">
        <v>1</v>
      </c>
      <c r="C274" s="94"/>
      <c r="D274" s="95" t="s">
        <v>773</v>
      </c>
      <c r="E274" s="94" t="s">
        <v>622</v>
      </c>
      <c r="F274" s="94"/>
      <c r="G274" s="96">
        <v>2008</v>
      </c>
      <c r="H274" s="94" t="s">
        <v>13</v>
      </c>
      <c r="I274" s="94" t="s">
        <v>29</v>
      </c>
      <c r="J274" s="88" t="s">
        <v>1406</v>
      </c>
      <c r="K274" s="90" t="str">
        <f>CONCATENATE(SUBSTITUTE(Spotify!J293,",",";"),";",J274)</f>
        <v>glam metal;alternative;acoustic;love</v>
      </c>
      <c r="L274" s="86"/>
      <c r="M274" s="54" t="str">
        <f>Spotify!B293</f>
        <v>To Be With You</v>
      </c>
      <c r="N274" s="92" t="str">
        <f>Spotify!D293</f>
        <v>Mr. Big</v>
      </c>
      <c r="O274" s="92">
        <f>Spotify!E293</f>
        <v>35394</v>
      </c>
      <c r="P274" s="54">
        <f>ROUND(Spotify!U293,0)</f>
        <v>84</v>
      </c>
      <c r="Q274" s="54">
        <f>ROUND(Spotify!L293*100,0)</f>
        <v>41</v>
      </c>
      <c r="R274" s="54">
        <f>ROUND(Spotify!K293*100,0)</f>
        <v>69</v>
      </c>
      <c r="S274" s="54">
        <f>Spotify!N293</f>
        <v>-7.9989999999999997</v>
      </c>
      <c r="T274" s="54">
        <f>ROUND(Spotify!T293*100,0)</f>
        <v>48</v>
      </c>
      <c r="U274" s="54">
        <f>ROUND(Spotify!F293/60000,1)</f>
        <v>3.5</v>
      </c>
      <c r="V274" s="54">
        <f>ROUND(Spotify!Q293*100,0)</f>
        <v>35</v>
      </c>
      <c r="W274" s="54">
        <f>Spotify!G293</f>
        <v>62</v>
      </c>
    </row>
    <row r="275" spans="1:23" ht="15" x14ac:dyDescent="0.3">
      <c r="A275" s="87">
        <f t="shared" ca="1" si="17"/>
        <v>0.39186973670481706</v>
      </c>
      <c r="B275" s="93"/>
      <c r="C275" s="94" t="s">
        <v>17</v>
      </c>
      <c r="D275" s="95" t="s">
        <v>418</v>
      </c>
      <c r="E275" s="94" t="s">
        <v>62</v>
      </c>
      <c r="F275" s="94"/>
      <c r="G275" s="96">
        <v>1964</v>
      </c>
      <c r="H275" s="94" t="s">
        <v>63</v>
      </c>
      <c r="I275" s="94"/>
      <c r="J275" s="88" t="s">
        <v>1569</v>
      </c>
      <c r="K275" s="90" t="str">
        <f>CONCATENATE(SUBSTITUTE(Spotify!J294,",",";"),";",J275)</f>
        <v>christmas;adult standards;acoustic;slow;oldies;retro;alternative;folk</v>
      </c>
      <c r="L275" s="86"/>
      <c r="M275" s="54" t="str">
        <f>Spotify!B294</f>
        <v>Top Of The World</v>
      </c>
      <c r="N275" s="92" t="str">
        <f>Spotify!D294</f>
        <v>Carpenters</v>
      </c>
      <c r="O275" s="92">
        <f>Spotify!E294</f>
        <v>1972</v>
      </c>
      <c r="P275" s="54">
        <f>ROUND(Spotify!U294,0)</f>
        <v>184</v>
      </c>
      <c r="Q275" s="54">
        <f>ROUND(Spotify!L294*100,0)</f>
        <v>34</v>
      </c>
      <c r="R275" s="54">
        <f>ROUND(Spotify!K294*100,0)</f>
        <v>38</v>
      </c>
      <c r="S275" s="54">
        <f>Spotify!N294</f>
        <v>-12.993</v>
      </c>
      <c r="T275" s="54">
        <f>ROUND(Spotify!T294*100,0)</f>
        <v>69</v>
      </c>
      <c r="U275" s="54">
        <f>ROUND(Spotify!F294/60000,1)</f>
        <v>3</v>
      </c>
      <c r="V275" s="54">
        <f>ROUND(Spotify!Q294*100,0)</f>
        <v>81</v>
      </c>
      <c r="W275" s="54">
        <f>Spotify!G294</f>
        <v>71</v>
      </c>
    </row>
    <row r="276" spans="1:23" ht="15" x14ac:dyDescent="0.3">
      <c r="A276" s="87"/>
      <c r="B276" s="93" t="s">
        <v>1</v>
      </c>
      <c r="C276" s="94" t="s">
        <v>77</v>
      </c>
      <c r="D276" s="95" t="s">
        <v>1608</v>
      </c>
      <c r="E276" s="94" t="s">
        <v>1609</v>
      </c>
      <c r="F276" s="94"/>
      <c r="G276" s="96">
        <v>1975</v>
      </c>
      <c r="H276" s="94" t="s">
        <v>12</v>
      </c>
      <c r="I276" s="94" t="s">
        <v>1576</v>
      </c>
      <c r="J276" s="88" t="s">
        <v>1389</v>
      </c>
      <c r="K276" s="90" t="str">
        <f>CONCATENATE(SUBSTITUTE(Spotify!J295,",",";"),";",J276)</f>
        <v>pop;alternative;groovy</v>
      </c>
      <c r="L276" s="86"/>
      <c r="M276" s="54" t="str">
        <f>Spotify!B295</f>
        <v>Toxic</v>
      </c>
      <c r="N276" s="92" t="str">
        <f>Spotify!D295</f>
        <v>Britney Spears</v>
      </c>
      <c r="O276" s="92">
        <f>Spotify!E295</f>
        <v>37938</v>
      </c>
      <c r="P276" s="54">
        <f>ROUND(Spotify!U295,0)</f>
        <v>143</v>
      </c>
      <c r="Q276" s="54">
        <f>ROUND(Spotify!L295*100,0)</f>
        <v>84</v>
      </c>
      <c r="R276" s="54">
        <f>ROUND(Spotify!K295*100,0)</f>
        <v>77</v>
      </c>
      <c r="S276" s="54">
        <f>Spotify!N295</f>
        <v>-3.9140000000000001</v>
      </c>
      <c r="T276" s="54">
        <f>ROUND(Spotify!T295*100,0)</f>
        <v>92</v>
      </c>
      <c r="U276" s="54">
        <f>ROUND(Spotify!F295/60000,1)</f>
        <v>3.3</v>
      </c>
      <c r="V276" s="54">
        <f>ROUND(Spotify!Q295*100,0)</f>
        <v>2</v>
      </c>
      <c r="W276" s="54">
        <f>Spotify!G295</f>
        <v>87</v>
      </c>
    </row>
    <row r="277" spans="1:23" ht="15" x14ac:dyDescent="0.3">
      <c r="A277" s="87">
        <f t="shared" ref="A277:A287" ca="1" si="18">RAND()</f>
        <v>0.93471152032872928</v>
      </c>
      <c r="B277" s="93"/>
      <c r="C277" s="94" t="s">
        <v>37</v>
      </c>
      <c r="D277" s="95" t="s">
        <v>419</v>
      </c>
      <c r="E277" s="97" t="s">
        <v>420</v>
      </c>
      <c r="F277" s="94"/>
      <c r="G277" s="96">
        <v>1980</v>
      </c>
      <c r="H277" s="94" t="s">
        <v>70</v>
      </c>
      <c r="I277" s="94"/>
      <c r="J277" s="88" t="s">
        <v>1546</v>
      </c>
      <c r="K277" s="90" t="str">
        <f>CONCATENATE(SUBSTITUTE(Spotify!J296,",",";"),";",J277)</f>
        <v>classic rock;psychedelic rock;groovy;dance;acoustic;alternative;sweet;love</v>
      </c>
      <c r="L277" s="86"/>
      <c r="M277" s="54" t="str">
        <f>Spotify!B296</f>
        <v>Twist And Shout - Remastered 2009</v>
      </c>
      <c r="N277" s="92" t="str">
        <f>Spotify!D296</f>
        <v>The Beatles</v>
      </c>
      <c r="O277" s="92">
        <f>Spotify!E296</f>
        <v>23092</v>
      </c>
      <c r="P277" s="54">
        <f>ROUND(Spotify!U296,0)</f>
        <v>125</v>
      </c>
      <c r="Q277" s="54">
        <f>ROUND(Spotify!L296*100,0)</f>
        <v>85</v>
      </c>
      <c r="R277" s="54">
        <f>ROUND(Spotify!K296*100,0)</f>
        <v>48</v>
      </c>
      <c r="S277" s="54">
        <f>Spotify!N296</f>
        <v>-9.1980000000000004</v>
      </c>
      <c r="T277" s="54">
        <f>ROUND(Spotify!T296*100,0)</f>
        <v>94</v>
      </c>
      <c r="U277" s="54">
        <f>ROUND(Spotify!F296/60000,1)</f>
        <v>2.6</v>
      </c>
      <c r="V277" s="54">
        <f>ROUND(Spotify!Q296*100,0)</f>
        <v>64</v>
      </c>
      <c r="W277" s="54">
        <f>Spotify!G296</f>
        <v>77</v>
      </c>
    </row>
    <row r="278" spans="1:23" ht="15" x14ac:dyDescent="0.3">
      <c r="A278" s="87">
        <f t="shared" ca="1" si="18"/>
        <v>0.20029772500146725</v>
      </c>
      <c r="B278" s="93"/>
      <c r="C278" s="94" t="s">
        <v>46</v>
      </c>
      <c r="D278" s="95" t="s">
        <v>421</v>
      </c>
      <c r="E278" s="94" t="s">
        <v>92</v>
      </c>
      <c r="F278" s="94"/>
      <c r="G278" s="96">
        <v>1964</v>
      </c>
      <c r="H278" s="94" t="s">
        <v>63</v>
      </c>
      <c r="I278" s="94"/>
      <c r="J278" s="88" t="s">
        <v>1570</v>
      </c>
      <c r="K278" s="90" t="str">
        <f>CONCATENATE(SUBSTITUTE(Spotify!J297,",",";"),";",J278)</f>
        <v>;oldies;retro;acoustic;folk</v>
      </c>
      <c r="L278" s="86"/>
      <c r="M278" s="54" t="str">
        <f>Spotify!B297</f>
        <v>Umbrella - Acoustic</v>
      </c>
      <c r="N278" s="92" t="str">
        <f>Spotify!D297</f>
        <v>Callum J Wright</v>
      </c>
      <c r="O278" s="92">
        <f>Spotify!E297</f>
        <v>44547</v>
      </c>
      <c r="P278" s="54">
        <f>ROUND(Spotify!U297,0)</f>
        <v>168</v>
      </c>
      <c r="Q278" s="54">
        <f>ROUND(Spotify!L297*100,0)</f>
        <v>23</v>
      </c>
      <c r="R278" s="54">
        <f>ROUND(Spotify!K297*100,0)</f>
        <v>51</v>
      </c>
      <c r="S278" s="54">
        <f>Spotify!N297</f>
        <v>-14.289</v>
      </c>
      <c r="T278" s="54">
        <f>ROUND(Spotify!T297*100,0)</f>
        <v>47</v>
      </c>
      <c r="U278" s="54">
        <f>ROUND(Spotify!F297/60000,1)</f>
        <v>2.8</v>
      </c>
      <c r="V278" s="54">
        <f>ROUND(Spotify!Q297*100,0)</f>
        <v>90</v>
      </c>
      <c r="W278" s="54">
        <f>Spotify!G297</f>
        <v>44</v>
      </c>
    </row>
    <row r="279" spans="1:23" ht="15" x14ac:dyDescent="0.3">
      <c r="A279" s="87">
        <f t="shared" ca="1" si="18"/>
        <v>0.34480944293871896</v>
      </c>
      <c r="B279" s="93" t="s">
        <v>1</v>
      </c>
      <c r="C279" s="94"/>
      <c r="D279" s="95" t="s">
        <v>770</v>
      </c>
      <c r="E279" s="94" t="s">
        <v>771</v>
      </c>
      <c r="F279" s="94"/>
      <c r="G279" s="96">
        <v>1998</v>
      </c>
      <c r="H279" s="94" t="s">
        <v>29</v>
      </c>
      <c r="I279" s="94" t="s">
        <v>13</v>
      </c>
      <c r="J279" s="88"/>
      <c r="K279" s="90" t="str">
        <f>CONCATENATE(SUBSTITUTE(Spotify!J298,",",";"),";",J279)</f>
        <v>funk rock;alternative rock;rock;</v>
      </c>
      <c r="L279" s="86"/>
      <c r="M279" s="54" t="str">
        <f>Spotify!B298</f>
        <v>Under the Bridge</v>
      </c>
      <c r="N279" s="92" t="str">
        <f>Spotify!D298</f>
        <v>Red Hot Chili Peppers</v>
      </c>
      <c r="O279" s="92">
        <f>Spotify!E298</f>
        <v>33505</v>
      </c>
      <c r="P279" s="54">
        <f>ROUND(Spotify!U298,0)</f>
        <v>85</v>
      </c>
      <c r="Q279" s="54">
        <f>ROUND(Spotify!L298*100,0)</f>
        <v>35</v>
      </c>
      <c r="R279" s="54">
        <f>ROUND(Spotify!K298*100,0)</f>
        <v>56</v>
      </c>
      <c r="S279" s="54">
        <f>Spotify!N298</f>
        <v>-13.496</v>
      </c>
      <c r="T279" s="54">
        <f>ROUND(Spotify!T298*100,0)</f>
        <v>46</v>
      </c>
      <c r="U279" s="54">
        <f>ROUND(Spotify!F298/60000,1)</f>
        <v>4.4000000000000004</v>
      </c>
      <c r="V279" s="54">
        <f>ROUND(Spotify!Q298*100,0)</f>
        <v>6</v>
      </c>
      <c r="W279" s="54">
        <f>Spotify!G298</f>
        <v>87</v>
      </c>
    </row>
    <row r="280" spans="1:23" s="53" customFormat="1" ht="15" x14ac:dyDescent="0.3">
      <c r="A280" s="87">
        <f t="shared" ca="1" si="18"/>
        <v>0.60314119995041082</v>
      </c>
      <c r="B280" s="93" t="s">
        <v>1</v>
      </c>
      <c r="C280" s="94" t="s">
        <v>14</v>
      </c>
      <c r="D280" s="95" t="s">
        <v>422</v>
      </c>
      <c r="E280" s="94" t="s">
        <v>423</v>
      </c>
      <c r="F280" s="94"/>
      <c r="G280" s="96">
        <v>2007</v>
      </c>
      <c r="H280" s="94" t="s">
        <v>63</v>
      </c>
      <c r="I280" s="94" t="s">
        <v>43</v>
      </c>
      <c r="J280" s="88" t="s">
        <v>1494</v>
      </c>
      <c r="K280" s="90" t="str">
        <f>CONCATENATE(SUBSTITUTE(Spotify!J299,",",";"),";",J280)</f>
        <v>;slow;acoustic;groovy;love</v>
      </c>
      <c r="L280" s="86"/>
      <c r="M280" s="54" t="str">
        <f>Spotify!B299</f>
        <v>Under the Sea</v>
      </c>
      <c r="N280" s="92" t="str">
        <f>Spotify!D299</f>
        <v>Alan Menken;Howard Ashman;Samuel E. Wright;Disney</v>
      </c>
      <c r="O280" s="92">
        <f>Spotify!E299</f>
        <v>38718</v>
      </c>
      <c r="P280" s="54">
        <f>ROUND(Spotify!U299,0)</f>
        <v>100</v>
      </c>
      <c r="Q280" s="54">
        <f>ROUND(Spotify!L299*100,0)</f>
        <v>47</v>
      </c>
      <c r="R280" s="54">
        <f>ROUND(Spotify!K299*100,0)</f>
        <v>73</v>
      </c>
      <c r="S280" s="54">
        <f>Spotify!N299</f>
        <v>-14.667</v>
      </c>
      <c r="T280" s="54">
        <f>ROUND(Spotify!T299*100,0)</f>
        <v>83</v>
      </c>
      <c r="U280" s="54">
        <f>ROUND(Spotify!F299/60000,1)</f>
        <v>3.3</v>
      </c>
      <c r="V280" s="54">
        <f>ROUND(Spotify!Q299*100,0)</f>
        <v>71</v>
      </c>
      <c r="W280" s="54">
        <f>Spotify!G299</f>
        <v>72</v>
      </c>
    </row>
    <row r="281" spans="1:23" ht="15" x14ac:dyDescent="0.3">
      <c r="A281" s="87">
        <f t="shared" ca="1" si="18"/>
        <v>7.8053030836757409E-2</v>
      </c>
      <c r="B281" s="99"/>
      <c r="C281" s="97" t="s">
        <v>14</v>
      </c>
      <c r="D281" s="89" t="s">
        <v>424</v>
      </c>
      <c r="E281" s="97" t="s">
        <v>194</v>
      </c>
      <c r="F281" s="97"/>
      <c r="G281" s="98">
        <v>1961</v>
      </c>
      <c r="H281" s="97" t="s">
        <v>59</v>
      </c>
      <c r="I281" s="97"/>
      <c r="J281" s="88" t="s">
        <v>1495</v>
      </c>
      <c r="K281" s="90" t="str">
        <f>CONCATENATE(SUBSTITUTE(Spotify!J300,",",";"),";",J281)</f>
        <v>soft rock;jazz;acoustic;groovy;oldies;retro;love</v>
      </c>
      <c r="L281" s="86"/>
      <c r="M281" s="54" t="str">
        <f>Spotify!B300</f>
        <v>Until...</v>
      </c>
      <c r="N281" s="92" t="str">
        <f>Spotify!D300</f>
        <v>Sting</v>
      </c>
      <c r="O281" s="92">
        <f>Spotify!E300</f>
        <v>37327</v>
      </c>
      <c r="P281" s="54">
        <f>ROUND(Spotify!U300,0)</f>
        <v>99</v>
      </c>
      <c r="Q281" s="54">
        <f>ROUND(Spotify!L300*100,0)</f>
        <v>22</v>
      </c>
      <c r="R281" s="54">
        <f>ROUND(Spotify!K300*100,0)</f>
        <v>50</v>
      </c>
      <c r="S281" s="54">
        <f>Spotify!N300</f>
        <v>-12.938000000000001</v>
      </c>
      <c r="T281" s="54">
        <f>ROUND(Spotify!T300*100,0)</f>
        <v>38</v>
      </c>
      <c r="U281" s="54">
        <f>ROUND(Spotify!F300/60000,1)</f>
        <v>3.2</v>
      </c>
      <c r="V281" s="54">
        <f>ROUND(Spotify!Q300*100,0)</f>
        <v>69</v>
      </c>
      <c r="W281" s="54">
        <f>Spotify!G300</f>
        <v>0</v>
      </c>
    </row>
    <row r="282" spans="1:23" ht="15" x14ac:dyDescent="0.3">
      <c r="A282" s="87">
        <f t="shared" ca="1" si="18"/>
        <v>0.24340592332560496</v>
      </c>
      <c r="B282" s="99"/>
      <c r="C282" s="97" t="s">
        <v>21</v>
      </c>
      <c r="D282" s="89" t="s">
        <v>425</v>
      </c>
      <c r="E282" s="97" t="s">
        <v>426</v>
      </c>
      <c r="F282" s="97"/>
      <c r="G282" s="98">
        <v>1987</v>
      </c>
      <c r="H282" s="97" t="s">
        <v>69</v>
      </c>
      <c r="I282" s="97"/>
      <c r="J282" s="88" t="s">
        <v>1432</v>
      </c>
      <c r="K282" s="90" t="str">
        <f>CONCATENATE(SUBSTITUTE(Spotify!J301,",",";"),";",J282)</f>
        <v>;dance;love;groovy</v>
      </c>
      <c r="L282" s="86"/>
      <c r="M282" s="54" t="str">
        <f>Spotify!B301</f>
        <v>Until I Found You</v>
      </c>
      <c r="N282" s="92" t="str">
        <f>Spotify!D301</f>
        <v>Stephen Sanchez</v>
      </c>
      <c r="O282" s="92">
        <f>Spotify!E301</f>
        <v>44440</v>
      </c>
      <c r="P282" s="54">
        <f>ROUND(Spotify!U301,0)</f>
        <v>101</v>
      </c>
      <c r="Q282" s="54">
        <f>ROUND(Spotify!L301*100,0)</f>
        <v>51</v>
      </c>
      <c r="R282" s="54">
        <f>ROUND(Spotify!K301*100,0)</f>
        <v>54</v>
      </c>
      <c r="S282" s="54">
        <f>Spotify!N301</f>
        <v>-6.05</v>
      </c>
      <c r="T282" s="54">
        <f>ROUND(Spotify!T301*100,0)</f>
        <v>23</v>
      </c>
      <c r="U282" s="54">
        <f>ROUND(Spotify!F301/60000,1)</f>
        <v>3</v>
      </c>
      <c r="V282" s="54">
        <f>ROUND(Spotify!Q301*100,0)</f>
        <v>73</v>
      </c>
      <c r="W282" s="54">
        <f>Spotify!G301</f>
        <v>79</v>
      </c>
    </row>
    <row r="283" spans="1:23" ht="15" x14ac:dyDescent="0.3">
      <c r="A283" s="87">
        <f t="shared" ca="1" si="18"/>
        <v>7.233904388124579E-2</v>
      </c>
      <c r="B283" s="93"/>
      <c r="C283" s="94"/>
      <c r="D283" s="95" t="s">
        <v>607</v>
      </c>
      <c r="E283" s="94" t="s">
        <v>138</v>
      </c>
      <c r="F283" s="94"/>
      <c r="G283" s="96">
        <v>1980</v>
      </c>
      <c r="H283" s="94" t="s">
        <v>13</v>
      </c>
      <c r="I283" s="94"/>
      <c r="J283" s="88" t="s">
        <v>1496</v>
      </c>
      <c r="K283" s="90" t="str">
        <f>CONCATENATE(SUBSTITUTE(Spotify!J302,",",";"),";",J283)</f>
        <v>soft rock;retro;oldies;jive;dance;groovy</v>
      </c>
      <c r="L283" s="86"/>
      <c r="M283" s="54" t="str">
        <f>Spotify!B302</f>
        <v>Uptown Girl</v>
      </c>
      <c r="N283" s="92" t="str">
        <f>Spotify!D302</f>
        <v>Billy Joel</v>
      </c>
      <c r="O283" s="92">
        <f>Spotify!E302</f>
        <v>30536</v>
      </c>
      <c r="P283" s="54">
        <f>ROUND(Spotify!U302,0)</f>
        <v>129</v>
      </c>
      <c r="Q283" s="54">
        <f>ROUND(Spotify!L302*100,0)</f>
        <v>94</v>
      </c>
      <c r="R283" s="54">
        <f>ROUND(Spotify!K302*100,0)</f>
        <v>70</v>
      </c>
      <c r="S283" s="54">
        <f>Spotify!N302</f>
        <v>-2.9860000000000002</v>
      </c>
      <c r="T283" s="54">
        <f>ROUND(Spotify!T302*100,0)</f>
        <v>79</v>
      </c>
      <c r="U283" s="54">
        <f>ROUND(Spotify!F302/60000,1)</f>
        <v>3.3</v>
      </c>
      <c r="V283" s="54">
        <f>ROUND(Spotify!Q302*100,0)</f>
        <v>8</v>
      </c>
      <c r="W283" s="54">
        <f>Spotify!G302</f>
        <v>85</v>
      </c>
    </row>
    <row r="284" spans="1:23" ht="15" x14ac:dyDescent="0.3">
      <c r="A284" s="87">
        <f t="shared" ca="1" si="18"/>
        <v>0.6177087752214826</v>
      </c>
      <c r="B284" s="93"/>
      <c r="C284" s="94"/>
      <c r="D284" s="95" t="s">
        <v>427</v>
      </c>
      <c r="E284" s="94" t="s">
        <v>272</v>
      </c>
      <c r="F284" s="94" t="s">
        <v>428</v>
      </c>
      <c r="G284" s="96">
        <v>2002</v>
      </c>
      <c r="H284" s="94" t="s">
        <v>12</v>
      </c>
      <c r="I284" s="94" t="s">
        <v>29</v>
      </c>
      <c r="J284" s="88" t="s">
        <v>1485</v>
      </c>
      <c r="K284" s="90" t="str">
        <f>CONCATENATE(SUBSTITUTE(Spotify!J303,",",";"),";",J284)</f>
        <v>;acoustic;alternative;groovy;love</v>
      </c>
      <c r="L284" s="86"/>
      <c r="M284" s="54" t="str">
        <f>Spotify!B303</f>
        <v>Valerie (feat. Amy Winehouse) - Version Revisited</v>
      </c>
      <c r="N284" s="92" t="str">
        <f>Spotify!D303</f>
        <v>Mark Ronson;Amy Winehouse</v>
      </c>
      <c r="O284" s="92">
        <f>Spotify!E303</f>
        <v>39188</v>
      </c>
      <c r="P284" s="54">
        <f>ROUND(Spotify!U303,0)</f>
        <v>106</v>
      </c>
      <c r="Q284" s="54">
        <f>ROUND(Spotify!L303*100,0)</f>
        <v>83</v>
      </c>
      <c r="R284" s="54">
        <f>ROUND(Spotify!K303*100,0)</f>
        <v>70</v>
      </c>
      <c r="S284" s="54">
        <f>Spotify!N303</f>
        <v>-4.8979999999999997</v>
      </c>
      <c r="T284" s="54">
        <f>ROUND(Spotify!T303*100,0)</f>
        <v>89</v>
      </c>
      <c r="U284" s="54">
        <f>ROUND(Spotify!F303/60000,1)</f>
        <v>3.7</v>
      </c>
      <c r="V284" s="54">
        <f>ROUND(Spotify!Q303*100,0)</f>
        <v>0</v>
      </c>
      <c r="W284" s="54">
        <f>Spotify!G303</f>
        <v>84</v>
      </c>
    </row>
    <row r="285" spans="1:23" ht="15" x14ac:dyDescent="0.3">
      <c r="A285" s="87">
        <f t="shared" ca="1" si="18"/>
        <v>0.33373738371345962</v>
      </c>
      <c r="B285" s="93"/>
      <c r="C285" s="94"/>
      <c r="D285" s="95" t="s">
        <v>429</v>
      </c>
      <c r="E285" s="94" t="s">
        <v>338</v>
      </c>
      <c r="F285" s="94"/>
      <c r="G285" s="96">
        <v>2014</v>
      </c>
      <c r="H285" s="94" t="s">
        <v>12</v>
      </c>
      <c r="I285" s="94" t="s">
        <v>430</v>
      </c>
      <c r="J285" s="88" t="s">
        <v>1498</v>
      </c>
      <c r="K285" s="90" t="str">
        <f>CONCATENATE(SUBSTITUTE(Spotify!J305,",",";"),";",J285)</f>
        <v>nederpop;slow;acoustic;alternative;love</v>
      </c>
      <c r="L285" s="86"/>
      <c r="M285" s="54" t="str">
        <f>Spotify!B305</f>
        <v>Venus</v>
      </c>
      <c r="N285" s="92" t="str">
        <f>Spotify!D305</f>
        <v>Shocking Blue</v>
      </c>
      <c r="O285" s="92">
        <f>Spotify!E305</f>
        <v>1969</v>
      </c>
      <c r="P285" s="54">
        <f>ROUND(Spotify!U305,0)</f>
        <v>128</v>
      </c>
      <c r="Q285" s="54">
        <f>ROUND(Spotify!L305*100,0)</f>
        <v>76</v>
      </c>
      <c r="R285" s="54">
        <f>ROUND(Spotify!K305*100,0)</f>
        <v>69</v>
      </c>
      <c r="S285" s="54">
        <f>Spotify!N305</f>
        <v>-6.47</v>
      </c>
      <c r="T285" s="54">
        <f>ROUND(Spotify!T305*100,0)</f>
        <v>96</v>
      </c>
      <c r="U285" s="54">
        <f>ROUND(Spotify!F305/60000,1)</f>
        <v>3.1</v>
      </c>
      <c r="V285" s="54">
        <f>ROUND(Spotify!Q305*100,0)</f>
        <v>46</v>
      </c>
      <c r="W285" s="54">
        <f>Spotify!G305</f>
        <v>71</v>
      </c>
    </row>
    <row r="286" spans="1:23" s="53" customFormat="1" ht="15" x14ac:dyDescent="0.3">
      <c r="A286" s="87">
        <f t="shared" ca="1" si="18"/>
        <v>0.71987968201077923</v>
      </c>
      <c r="B286" s="93" t="s">
        <v>1</v>
      </c>
      <c r="C286" s="94" t="s">
        <v>71</v>
      </c>
      <c r="D286" s="95" t="s">
        <v>613</v>
      </c>
      <c r="E286" s="94" t="s">
        <v>614</v>
      </c>
      <c r="F286" s="94"/>
      <c r="G286" s="96">
        <v>2007</v>
      </c>
      <c r="H286" s="94" t="s">
        <v>12</v>
      </c>
      <c r="I286" s="94" t="s">
        <v>29</v>
      </c>
      <c r="J286" s="88" t="s">
        <v>1499</v>
      </c>
      <c r="K286" s="90" t="str">
        <f>CONCATENATE(SUBSTITUTE(Spotify!J306,",",";"),";",J286)</f>
        <v>;dance;fast;alternative;acoustic</v>
      </c>
      <c r="L286" s="86"/>
      <c r="M286" s="54" t="str">
        <f>Spotify!B306</f>
        <v>Viva La Vida</v>
      </c>
      <c r="N286" s="92" t="str">
        <f>Spotify!D306</f>
        <v>Coldplay</v>
      </c>
      <c r="O286" s="92">
        <f>Spotify!E306</f>
        <v>39605</v>
      </c>
      <c r="P286" s="54">
        <f>ROUND(Spotify!U306,0)</f>
        <v>138</v>
      </c>
      <c r="Q286" s="54">
        <f>ROUND(Spotify!L306*100,0)</f>
        <v>62</v>
      </c>
      <c r="R286" s="54">
        <f>ROUND(Spotify!K306*100,0)</f>
        <v>49</v>
      </c>
      <c r="S286" s="54">
        <f>Spotify!N306</f>
        <v>-7.1150000000000002</v>
      </c>
      <c r="T286" s="54">
        <f>ROUND(Spotify!T306*100,0)</f>
        <v>42</v>
      </c>
      <c r="U286" s="54">
        <f>ROUND(Spotify!F306/60000,1)</f>
        <v>4</v>
      </c>
      <c r="V286" s="54">
        <f>ROUND(Spotify!Q306*100,0)</f>
        <v>10</v>
      </c>
      <c r="W286" s="54">
        <f>Spotify!G306</f>
        <v>88</v>
      </c>
    </row>
    <row r="287" spans="1:23" ht="15" x14ac:dyDescent="0.3">
      <c r="A287" s="87">
        <f t="shared" ca="1" si="18"/>
        <v>0.56539586543086995</v>
      </c>
      <c r="B287" s="93"/>
      <c r="C287" s="94"/>
      <c r="D287" s="95" t="s">
        <v>431</v>
      </c>
      <c r="E287" s="94" t="s">
        <v>206</v>
      </c>
      <c r="F287" s="94"/>
      <c r="G287" s="96">
        <v>2004</v>
      </c>
      <c r="H287" s="94" t="s">
        <v>12</v>
      </c>
      <c r="I287" s="94" t="s">
        <v>13</v>
      </c>
      <c r="J287" s="88" t="s">
        <v>1500</v>
      </c>
      <c r="K287" s="90" t="str">
        <f>CONCATENATE(SUBSTITUTE(Spotify!J307,",",";"),";",J287)</f>
        <v>edm;alternative;groovy;love</v>
      </c>
      <c r="L287" s="86"/>
      <c r="M287" s="54" t="str">
        <f>Spotify!B307</f>
        <v>Wake Me Up</v>
      </c>
      <c r="N287" s="92" t="str">
        <f>Spotify!D307</f>
        <v>Avicii</v>
      </c>
      <c r="O287" s="92">
        <f>Spotify!E307</f>
        <v>41533</v>
      </c>
      <c r="P287" s="54">
        <f>ROUND(Spotify!U307,0)</f>
        <v>124</v>
      </c>
      <c r="Q287" s="54">
        <f>ROUND(Spotify!L307*100,0)</f>
        <v>78</v>
      </c>
      <c r="R287" s="54">
        <f>ROUND(Spotify!K307*100,0)</f>
        <v>53</v>
      </c>
      <c r="S287" s="54">
        <f>Spotify!N307</f>
        <v>-5.6970000000000001</v>
      </c>
      <c r="T287" s="54">
        <f>ROUND(Spotify!T307*100,0)</f>
        <v>64</v>
      </c>
      <c r="U287" s="54">
        <f>ROUND(Spotify!F307/60000,1)</f>
        <v>4.0999999999999996</v>
      </c>
      <c r="V287" s="54">
        <f>ROUND(Spotify!Q307*100,0)</f>
        <v>0</v>
      </c>
      <c r="W287" s="54">
        <f>Spotify!G307</f>
        <v>88</v>
      </c>
    </row>
    <row r="288" spans="1:23" ht="15" x14ac:dyDescent="0.3">
      <c r="A288" s="87"/>
      <c r="B288" s="93" t="s">
        <v>1</v>
      </c>
      <c r="C288" s="94"/>
      <c r="D288" s="95" t="s">
        <v>1596</v>
      </c>
      <c r="E288" s="97" t="s">
        <v>1595</v>
      </c>
      <c r="F288" s="94"/>
      <c r="G288" s="96">
        <v>1969</v>
      </c>
      <c r="H288" s="94" t="s">
        <v>63</v>
      </c>
      <c r="I288" s="94"/>
      <c r="J288" s="88" t="s">
        <v>1597</v>
      </c>
      <c r="K288" s="90" t="str">
        <f>CONCATENATE(SUBSTITUTE(Spotify!J308,",",";"),";",J288)</f>
        <v>punk;pop punk;alternative;retro;oldies;dance</v>
      </c>
      <c r="L288" s="86"/>
      <c r="M288" s="54" t="str">
        <f>Spotify!B308</f>
        <v>Wake Me up When September Ends</v>
      </c>
      <c r="N288" s="92" t="str">
        <f>Spotify!D308</f>
        <v>Green Day</v>
      </c>
      <c r="O288" s="92">
        <f>Spotify!E308</f>
        <v>38251</v>
      </c>
      <c r="P288" s="54">
        <f>ROUND(Spotify!U308,0)</f>
        <v>105</v>
      </c>
      <c r="Q288" s="54">
        <f>ROUND(Spotify!L308*100,0)</f>
        <v>81</v>
      </c>
      <c r="R288" s="54">
        <f>ROUND(Spotify!K308*100,0)</f>
        <v>55</v>
      </c>
      <c r="S288" s="54">
        <f>Spotify!N308</f>
        <v>-5.1459999999999999</v>
      </c>
      <c r="T288" s="54">
        <f>ROUND(Spotify!T308*100,0)</f>
        <v>15</v>
      </c>
      <c r="U288" s="54">
        <f>ROUND(Spotify!F308/60000,1)</f>
        <v>4.8</v>
      </c>
      <c r="V288" s="54">
        <f>ROUND(Spotify!Q308*100,0)</f>
        <v>2</v>
      </c>
      <c r="W288" s="54">
        <f>Spotify!G308</f>
        <v>83</v>
      </c>
    </row>
    <row r="289" spans="1:23" s="53" customFormat="1" ht="15" x14ac:dyDescent="0.3">
      <c r="A289" s="87">
        <f t="shared" ref="A289:A305" ca="1" si="19">RAND()</f>
        <v>0.45189217708888763</v>
      </c>
      <c r="B289" s="93"/>
      <c r="C289" s="94"/>
      <c r="D289" s="100" t="s">
        <v>639</v>
      </c>
      <c r="E289" s="94" t="s">
        <v>90</v>
      </c>
      <c r="F289" s="94" t="s">
        <v>640</v>
      </c>
      <c r="G289" s="96">
        <v>1963</v>
      </c>
      <c r="H289" s="94" t="s">
        <v>12</v>
      </c>
      <c r="I289" s="94" t="s">
        <v>261</v>
      </c>
      <c r="J289" s="88" t="s">
        <v>1470</v>
      </c>
      <c r="K289" s="90" t="str">
        <f>CONCATENATE(SUBSTITUTE(Spotify!J309,",",";"),";",J289)</f>
        <v>;oldies;retro;love;dance;acoustic</v>
      </c>
      <c r="L289" s="86"/>
      <c r="M289" s="54" t="str">
        <f>Spotify!B309</f>
        <v>Watermelon Sugar</v>
      </c>
      <c r="N289" s="92" t="str">
        <f>Spotify!D309</f>
        <v>Harry Styles</v>
      </c>
      <c r="O289" s="92">
        <f>Spotify!E309</f>
        <v>43812</v>
      </c>
      <c r="P289" s="54">
        <f>ROUND(Spotify!U309,0)</f>
        <v>95</v>
      </c>
      <c r="Q289" s="54">
        <f>ROUND(Spotify!L309*100,0)</f>
        <v>82</v>
      </c>
      <c r="R289" s="54">
        <f>ROUND(Spotify!K309*100,0)</f>
        <v>55</v>
      </c>
      <c r="S289" s="54">
        <f>Spotify!N309</f>
        <v>-4.2089999999999996</v>
      </c>
      <c r="T289" s="54">
        <f>ROUND(Spotify!T309*100,0)</f>
        <v>56</v>
      </c>
      <c r="U289" s="54">
        <f>ROUND(Spotify!F309/60000,1)</f>
        <v>2.9</v>
      </c>
      <c r="V289" s="54">
        <f>ROUND(Spotify!Q309*100,0)</f>
        <v>12</v>
      </c>
      <c r="W289" s="54">
        <f>Spotify!G309</f>
        <v>87</v>
      </c>
    </row>
    <row r="290" spans="1:23" ht="15" x14ac:dyDescent="0.3">
      <c r="A290" s="87">
        <f t="shared" ca="1" si="19"/>
        <v>0.5913223489027819</v>
      </c>
      <c r="B290" s="93" t="s">
        <v>1</v>
      </c>
      <c r="C290" s="94"/>
      <c r="D290" s="95" t="s">
        <v>432</v>
      </c>
      <c r="E290" s="94" t="s">
        <v>433</v>
      </c>
      <c r="F290" s="94" t="s">
        <v>434</v>
      </c>
      <c r="G290" s="96">
        <v>1984</v>
      </c>
      <c r="H290" s="94" t="s">
        <v>13</v>
      </c>
      <c r="I290" s="94" t="s">
        <v>33</v>
      </c>
      <c r="J290" s="88" t="s">
        <v>1484</v>
      </c>
      <c r="K290" s="90" t="str">
        <f>CONCATENATE(SUBSTITUTE(Spotify!J310,",",";"),";",J290)</f>
        <v>jazz;swing music;vocal jazz;big band;slow;love;acoustic</v>
      </c>
      <c r="L290" s="86"/>
      <c r="M290" s="54" t="str">
        <f>Spotify!B310</f>
        <v>What A Wonderful World</v>
      </c>
      <c r="N290" s="92" t="str">
        <f>Spotify!D310</f>
        <v>Louis Armstrong</v>
      </c>
      <c r="O290" s="92">
        <f>Spotify!E310</f>
        <v>24838</v>
      </c>
      <c r="P290" s="54">
        <f>ROUND(Spotify!U310,0)</f>
        <v>77</v>
      </c>
      <c r="Q290" s="54">
        <f>ROUND(Spotify!L310*100,0)</f>
        <v>17</v>
      </c>
      <c r="R290" s="54">
        <f>ROUND(Spotify!K310*100,0)</f>
        <v>27</v>
      </c>
      <c r="S290" s="54">
        <f>Spotify!N310</f>
        <v>-20.652000000000001</v>
      </c>
      <c r="T290" s="54">
        <f>ROUND(Spotify!T310*100,0)</f>
        <v>20</v>
      </c>
      <c r="U290" s="54">
        <f>ROUND(Spotify!F310/60000,1)</f>
        <v>2.2999999999999998</v>
      </c>
      <c r="V290" s="54">
        <f>ROUND(Spotify!Q310*100,0)</f>
        <v>73</v>
      </c>
      <c r="W290" s="54">
        <f>Spotify!G310</f>
        <v>78</v>
      </c>
    </row>
    <row r="291" spans="1:23" ht="15" x14ac:dyDescent="0.3">
      <c r="A291" s="87">
        <f t="shared" ca="1" si="19"/>
        <v>0.60216448133570977</v>
      </c>
      <c r="B291" s="93" t="s">
        <v>1</v>
      </c>
      <c r="C291" s="94" t="s">
        <v>17</v>
      </c>
      <c r="D291" s="95" t="s">
        <v>435</v>
      </c>
      <c r="E291" s="94" t="s">
        <v>340</v>
      </c>
      <c r="F291" s="94"/>
      <c r="G291" s="96">
        <v>1972</v>
      </c>
      <c r="H291" s="94" t="s">
        <v>12</v>
      </c>
      <c r="I291" s="94" t="s">
        <v>63</v>
      </c>
      <c r="J291" s="88" t="s">
        <v>1501</v>
      </c>
      <c r="K291" s="90" t="str">
        <f>CONCATENATE(SUBSTITUTE(Spotify!J311,",",";"),";",J291)</f>
        <v>;oldies;retro;slow;acoustic;love</v>
      </c>
      <c r="L291" s="86"/>
      <c r="M291" s="54" t="str">
        <f>Spotify!B311</f>
        <v>What's Up?</v>
      </c>
      <c r="N291" s="92" t="str">
        <f>Spotify!D311</f>
        <v>4 Non Blondes</v>
      </c>
      <c r="O291" s="92">
        <f>Spotify!E311</f>
        <v>33604</v>
      </c>
      <c r="P291" s="54">
        <f>ROUND(Spotify!U311,0)</f>
        <v>134</v>
      </c>
      <c r="Q291" s="54">
        <f>ROUND(Spotify!L311*100,0)</f>
        <v>56</v>
      </c>
      <c r="R291" s="54">
        <f>ROUND(Spotify!K311*100,0)</f>
        <v>57</v>
      </c>
      <c r="S291" s="54">
        <f>Spotify!N311</f>
        <v>-10.044</v>
      </c>
      <c r="T291" s="54">
        <f>ROUND(Spotify!T311*100,0)</f>
        <v>45</v>
      </c>
      <c r="U291" s="54">
        <f>ROUND(Spotify!F311/60000,1)</f>
        <v>4.9000000000000004</v>
      </c>
      <c r="V291" s="54">
        <f>ROUND(Spotify!Q311*100,0)</f>
        <v>16</v>
      </c>
      <c r="W291" s="54">
        <f>Spotify!G311</f>
        <v>86</v>
      </c>
    </row>
    <row r="292" spans="1:23" ht="15" x14ac:dyDescent="0.3">
      <c r="A292" s="87">
        <f t="shared" ca="1" si="19"/>
        <v>0.24420625898553738</v>
      </c>
      <c r="B292" s="93"/>
      <c r="C292" s="94"/>
      <c r="D292" s="95" t="s">
        <v>436</v>
      </c>
      <c r="E292" s="94" t="s">
        <v>563</v>
      </c>
      <c r="F292" s="94"/>
      <c r="G292" s="96">
        <v>2011</v>
      </c>
      <c r="H292" s="94" t="s">
        <v>360</v>
      </c>
      <c r="I292" s="94"/>
      <c r="J292" s="88" t="s">
        <v>1397</v>
      </c>
      <c r="K292" s="90" t="str">
        <f>CONCATENATE(SUBSTITUTE(Spotify!J312,",",";"),";",J292)</f>
        <v>;alternative;groovy;dance</v>
      </c>
      <c r="L292" s="86"/>
      <c r="M292" s="54" t="str">
        <f>Spotify!B312</f>
        <v>When You Say Nothing At All</v>
      </c>
      <c r="N292" s="92" t="str">
        <f>Spotify!D312</f>
        <v>Ronan Keating</v>
      </c>
      <c r="O292" s="92">
        <f>Spotify!E312</f>
        <v>36526</v>
      </c>
      <c r="P292" s="54">
        <f>ROUND(Spotify!U312,0)</f>
        <v>174</v>
      </c>
      <c r="Q292" s="54">
        <f>ROUND(Spotify!L312*100,0)</f>
        <v>45</v>
      </c>
      <c r="R292" s="54">
        <f>ROUND(Spotify!K312*100,0)</f>
        <v>46</v>
      </c>
      <c r="S292" s="54">
        <f>Spotify!N312</f>
        <v>-10.664999999999999</v>
      </c>
      <c r="T292" s="54">
        <f>ROUND(Spotify!T312*100,0)</f>
        <v>42</v>
      </c>
      <c r="U292" s="54">
        <f>ROUND(Spotify!F312/60000,1)</f>
        <v>4.3</v>
      </c>
      <c r="V292" s="54">
        <f>ROUND(Spotify!Q312*100,0)</f>
        <v>16</v>
      </c>
      <c r="W292" s="54">
        <f>Spotify!G312</f>
        <v>72</v>
      </c>
    </row>
    <row r="293" spans="1:23" s="53" customFormat="1" ht="15" x14ac:dyDescent="0.3">
      <c r="A293" s="87">
        <f t="shared" ca="1" si="19"/>
        <v>0.60358863554829001</v>
      </c>
      <c r="B293" s="99"/>
      <c r="C293" s="97" t="s">
        <v>21</v>
      </c>
      <c r="D293" s="89" t="s">
        <v>438</v>
      </c>
      <c r="E293" s="97" t="s">
        <v>439</v>
      </c>
      <c r="F293" s="97"/>
      <c r="G293" s="98">
        <v>2001</v>
      </c>
      <c r="H293" s="97" t="s">
        <v>12</v>
      </c>
      <c r="I293" s="97" t="s">
        <v>235</v>
      </c>
      <c r="J293" s="88" t="s">
        <v>1502</v>
      </c>
      <c r="K293" s="90" t="str">
        <f>CONCATENATE(SUBSTITUTE(Spotify!J313,",",";"),";",J293)</f>
        <v>alternative rock;alternative;acoustic;dance;love</v>
      </c>
      <c r="L293" s="86"/>
      <c r="M293" s="54" t="str">
        <f>Spotify!B313</f>
        <v>When You Were Young</v>
      </c>
      <c r="N293" s="92" t="str">
        <f>Spotify!D313</f>
        <v>The Killers</v>
      </c>
      <c r="O293" s="92">
        <f>Spotify!E313</f>
        <v>38987</v>
      </c>
      <c r="P293" s="54">
        <f>ROUND(Spotify!U313,0)</f>
        <v>130</v>
      </c>
      <c r="Q293" s="54">
        <f>ROUND(Spotify!L313*100,0)</f>
        <v>99</v>
      </c>
      <c r="R293" s="54">
        <f>ROUND(Spotify!K313*100,0)</f>
        <v>47</v>
      </c>
      <c r="S293" s="54">
        <f>Spotify!N313</f>
        <v>-3.3130000000000002</v>
      </c>
      <c r="T293" s="54">
        <f>ROUND(Spotify!T313*100,0)</f>
        <v>32</v>
      </c>
      <c r="U293" s="54">
        <f>ROUND(Spotify!F313/60000,1)</f>
        <v>3.7</v>
      </c>
      <c r="V293" s="54">
        <f>ROUND(Spotify!Q313*100,0)</f>
        <v>0</v>
      </c>
      <c r="W293" s="54">
        <f>Spotify!G313</f>
        <v>81</v>
      </c>
    </row>
    <row r="294" spans="1:23" ht="15" x14ac:dyDescent="0.3">
      <c r="A294" s="87">
        <f t="shared" ca="1" si="19"/>
        <v>0.43987553082227726</v>
      </c>
      <c r="B294" s="99"/>
      <c r="C294" s="97" t="s">
        <v>148</v>
      </c>
      <c r="D294" s="89" t="s">
        <v>440</v>
      </c>
      <c r="E294" s="97" t="s">
        <v>441</v>
      </c>
      <c r="F294" s="97"/>
      <c r="G294" s="98">
        <v>1972</v>
      </c>
      <c r="H294" s="97" t="s">
        <v>13</v>
      </c>
      <c r="I294" s="97"/>
      <c r="J294" s="88" t="s">
        <v>1537</v>
      </c>
      <c r="K294" s="90" t="str">
        <f>CONCATENATE(SUBSTITUTE(Spotify!J314,",",";"),";",J294)</f>
        <v>latin pop;oldies;retro;dance;love;fast;sweet</v>
      </c>
      <c r="L294" s="86"/>
      <c r="M294" s="54" t="str">
        <f>Spotify!B314</f>
        <v>Whenever, Wherever</v>
      </c>
      <c r="N294" s="92" t="str">
        <f>Spotify!D314</f>
        <v>Shakira</v>
      </c>
      <c r="O294" s="92">
        <f>Spotify!E314</f>
        <v>37208</v>
      </c>
      <c r="P294" s="54">
        <f>ROUND(Spotify!U314,0)</f>
        <v>108</v>
      </c>
      <c r="Q294" s="54">
        <f>ROUND(Spotify!L314*100,0)</f>
        <v>83</v>
      </c>
      <c r="R294" s="54">
        <f>ROUND(Spotify!K314*100,0)</f>
        <v>79</v>
      </c>
      <c r="S294" s="54">
        <f>Spotify!N314</f>
        <v>-4.8620000000000001</v>
      </c>
      <c r="T294" s="54">
        <f>ROUND(Spotify!T314*100,0)</f>
        <v>87</v>
      </c>
      <c r="U294" s="54">
        <f>ROUND(Spotify!F314/60000,1)</f>
        <v>3.3</v>
      </c>
      <c r="V294" s="54">
        <f>ROUND(Spotify!Q314*100,0)</f>
        <v>24</v>
      </c>
      <c r="W294" s="54">
        <f>Spotify!G314</f>
        <v>80</v>
      </c>
    </row>
    <row r="295" spans="1:23" ht="15" x14ac:dyDescent="0.3">
      <c r="A295" s="87">
        <f t="shared" ca="1" si="19"/>
        <v>0.61915214132330909</v>
      </c>
      <c r="B295" s="93"/>
      <c r="C295" s="94" t="s">
        <v>77</v>
      </c>
      <c r="D295" s="89" t="s">
        <v>631</v>
      </c>
      <c r="E295" s="94" t="s">
        <v>73</v>
      </c>
      <c r="F295" s="94"/>
      <c r="G295" s="96">
        <v>2003</v>
      </c>
      <c r="H295" s="94" t="s">
        <v>13</v>
      </c>
      <c r="I295" s="94"/>
      <c r="J295" s="88" t="s">
        <v>1506</v>
      </c>
      <c r="K295" s="90" t="str">
        <f>CONCATENATE(SUBSTITUTE(Spotify!J315,",",";"),";",J295)</f>
        <v>;groovy;dance;acoustic;alternative;love;fast</v>
      </c>
      <c r="L295" s="86"/>
      <c r="M295" s="54" t="str">
        <f>Spotify!B315</f>
        <v>White Flag</v>
      </c>
      <c r="N295" s="92" t="str">
        <f>Spotify!D315</f>
        <v>Dido</v>
      </c>
      <c r="O295" s="92">
        <f>Spotify!E315</f>
        <v>37867</v>
      </c>
      <c r="P295" s="54">
        <f>ROUND(Spotify!U315,0)</f>
        <v>170</v>
      </c>
      <c r="Q295" s="54">
        <f>ROUND(Spotify!L315*100,0)</f>
        <v>54</v>
      </c>
      <c r="R295" s="54">
        <f>ROUND(Spotify!K315*100,0)</f>
        <v>51</v>
      </c>
      <c r="S295" s="54">
        <f>Spotify!N315</f>
        <v>-6.835</v>
      </c>
      <c r="T295" s="54">
        <f>ROUND(Spotify!T315*100,0)</f>
        <v>28</v>
      </c>
      <c r="U295" s="54">
        <f>ROUND(Spotify!F315/60000,1)</f>
        <v>4</v>
      </c>
      <c r="V295" s="54">
        <f>ROUND(Spotify!Q315*100,0)</f>
        <v>31</v>
      </c>
      <c r="W295" s="54">
        <f>Spotify!G315</f>
        <v>66</v>
      </c>
    </row>
    <row r="296" spans="1:23" ht="15" x14ac:dyDescent="0.3">
      <c r="A296" s="87">
        <f t="shared" ca="1" si="19"/>
        <v>0.22896453877314915</v>
      </c>
      <c r="B296" s="93" t="s">
        <v>1</v>
      </c>
      <c r="C296" s="94"/>
      <c r="D296" s="100" t="s">
        <v>545</v>
      </c>
      <c r="E296" s="94" t="s">
        <v>90</v>
      </c>
      <c r="F296" s="94"/>
      <c r="G296" s="96">
        <v>1961</v>
      </c>
      <c r="H296" s="94" t="s">
        <v>12</v>
      </c>
      <c r="I296" s="94"/>
      <c r="J296" s="88" t="s">
        <v>1503</v>
      </c>
      <c r="K296" s="90" t="str">
        <f>CONCATENATE(SUBSTITUTE(Spotify!J316,",",";"),";",J296)</f>
        <v>;dance;fast;groocy;retro;oldies</v>
      </c>
      <c r="L296" s="86"/>
      <c r="M296" s="54" t="str">
        <f>Spotify!B316</f>
        <v>Wicked Game</v>
      </c>
      <c r="N296" s="92" t="str">
        <f>Spotify!D316</f>
        <v>Chris Isaak</v>
      </c>
      <c r="O296" s="92">
        <f>Spotify!E316</f>
        <v>32672</v>
      </c>
      <c r="P296" s="54">
        <f>ROUND(Spotify!U316,0)</f>
        <v>112</v>
      </c>
      <c r="Q296" s="54">
        <f>ROUND(Spotify!L316*100,0)</f>
        <v>30</v>
      </c>
      <c r="R296" s="54">
        <f>ROUND(Spotify!K316*100,0)</f>
        <v>66</v>
      </c>
      <c r="S296" s="54">
        <f>Spotify!N316</f>
        <v>-18.09</v>
      </c>
      <c r="T296" s="54">
        <f>ROUND(Spotify!T316*100,0)</f>
        <v>36</v>
      </c>
      <c r="U296" s="54">
        <f>ROUND(Spotify!F316/60000,1)</f>
        <v>4.8</v>
      </c>
      <c r="V296" s="54">
        <f>ROUND(Spotify!Q316*100,0)</f>
        <v>68</v>
      </c>
      <c r="W296" s="54">
        <f>Spotify!G316</f>
        <v>86</v>
      </c>
    </row>
    <row r="297" spans="1:23" ht="15" x14ac:dyDescent="0.3">
      <c r="A297" s="87">
        <f t="shared" ca="1" si="19"/>
        <v>0.86404203470749208</v>
      </c>
      <c r="B297" s="93"/>
      <c r="C297" s="94"/>
      <c r="D297" s="95" t="s">
        <v>442</v>
      </c>
      <c r="E297" s="94" t="s">
        <v>443</v>
      </c>
      <c r="F297" s="94"/>
      <c r="G297" s="96">
        <v>2007</v>
      </c>
      <c r="H297" s="94" t="s">
        <v>13</v>
      </c>
      <c r="I297" s="94" t="s">
        <v>69</v>
      </c>
      <c r="J297" s="88" t="s">
        <v>1505</v>
      </c>
      <c r="K297" s="90" t="str">
        <f>CONCATENATE(SUBSTITUTE(Spotify!J317,",",";"),";",J297)</f>
        <v>folk rock;folk;singer-songwriter;groovy;dance;alternative;love</v>
      </c>
      <c r="L297" s="86"/>
      <c r="M297" s="54" t="str">
        <f>Spotify!B317</f>
        <v>Wild World</v>
      </c>
      <c r="N297" s="92" t="str">
        <f>Spotify!D317</f>
        <v>Yusuf / Cat Stevens</v>
      </c>
      <c r="O297" s="92">
        <f>Spotify!E317</f>
        <v>44792</v>
      </c>
      <c r="P297" s="54">
        <f>ROUND(Spotify!U317,0)</f>
        <v>152</v>
      </c>
      <c r="Q297" s="54">
        <f>ROUND(Spotify!L317*100,0)</f>
        <v>51</v>
      </c>
      <c r="R297" s="54">
        <f>ROUND(Spotify!K317*100,0)</f>
        <v>48</v>
      </c>
      <c r="S297" s="54">
        <f>Spotify!N317</f>
        <v>-9.4120000000000008</v>
      </c>
      <c r="T297" s="54">
        <f>ROUND(Spotify!T317*100,0)</f>
        <v>55</v>
      </c>
      <c r="U297" s="54">
        <f>ROUND(Spotify!F317/60000,1)</f>
        <v>3.3</v>
      </c>
      <c r="V297" s="54">
        <f>ROUND(Spotify!Q317*100,0)</f>
        <v>37</v>
      </c>
      <c r="W297" s="54">
        <f>Spotify!G317</f>
        <v>0</v>
      </c>
    </row>
    <row r="298" spans="1:23" ht="15" x14ac:dyDescent="0.3">
      <c r="A298" s="87">
        <f t="shared" ca="1" si="19"/>
        <v>0.80211393870594028</v>
      </c>
      <c r="B298" s="93"/>
      <c r="C298" s="94"/>
      <c r="D298" s="95" t="s">
        <v>444</v>
      </c>
      <c r="E298" s="94" t="s">
        <v>110</v>
      </c>
      <c r="F298" s="94"/>
      <c r="G298" s="96">
        <v>1991</v>
      </c>
      <c r="H298" s="94" t="s">
        <v>29</v>
      </c>
      <c r="I298" s="94"/>
      <c r="J298" s="88" t="s">
        <v>1504</v>
      </c>
      <c r="K298" s="90" t="str">
        <f>CONCATENATE(SUBSTITUTE(Spotify!J318,",",";"),";",J298)</f>
        <v>;alternative;groovy;acoustic</v>
      </c>
      <c r="L298" s="86"/>
      <c r="M298" s="54" t="str">
        <f>Spotify!B318</f>
        <v>Wisemen</v>
      </c>
      <c r="N298" s="92" t="str">
        <f>Spotify!D318</f>
        <v>James Blunt</v>
      </c>
      <c r="O298" s="92">
        <f>Spotify!E318</f>
        <v>38572</v>
      </c>
      <c r="P298" s="54">
        <f>ROUND(Spotify!U318,0)</f>
        <v>152</v>
      </c>
      <c r="Q298" s="54">
        <f>ROUND(Spotify!L318*100,0)</f>
        <v>70</v>
      </c>
      <c r="R298" s="54">
        <f>ROUND(Spotify!K318*100,0)</f>
        <v>63</v>
      </c>
      <c r="S298" s="54">
        <f>Spotify!N318</f>
        <v>-5.9690000000000003</v>
      </c>
      <c r="T298" s="54">
        <f>ROUND(Spotify!T318*100,0)</f>
        <v>63</v>
      </c>
      <c r="U298" s="54">
        <f>ROUND(Spotify!F318/60000,1)</f>
        <v>3.7</v>
      </c>
      <c r="V298" s="54">
        <f>ROUND(Spotify!Q318*100,0)</f>
        <v>25</v>
      </c>
      <c r="W298" s="54">
        <f>Spotify!G318</f>
        <v>56</v>
      </c>
    </row>
    <row r="299" spans="1:23" ht="15" x14ac:dyDescent="0.3">
      <c r="A299" s="87">
        <f t="shared" ca="1" si="19"/>
        <v>0.96465394701749363</v>
      </c>
      <c r="B299" s="93" t="s">
        <v>1</v>
      </c>
      <c r="C299" s="94"/>
      <c r="D299" s="100" t="s">
        <v>531</v>
      </c>
      <c r="E299" s="94" t="s">
        <v>532</v>
      </c>
      <c r="F299" s="94"/>
      <c r="G299" s="96">
        <v>1991</v>
      </c>
      <c r="H299" s="94" t="s">
        <v>20</v>
      </c>
      <c r="I299" s="94"/>
      <c r="J299" s="88" t="s">
        <v>1428</v>
      </c>
      <c r="K299" s="90" t="str">
        <f>CONCATENATE(SUBSTITUTE(Spotify!J319,",",";"),";",J299)</f>
        <v>progressive rock;psychedelic rock;classic rock;art rock;rock;dance;fast;groovy</v>
      </c>
      <c r="L299" s="86"/>
      <c r="M299" s="54" t="str">
        <f>Spotify!B319</f>
        <v>Wish You Were Here</v>
      </c>
      <c r="N299" s="92" t="str">
        <f>Spotify!D319</f>
        <v>Pink Floyd</v>
      </c>
      <c r="O299" s="92">
        <f>Spotify!E319</f>
        <v>27649</v>
      </c>
      <c r="P299" s="54">
        <f>ROUND(Spotify!U319,0)</f>
        <v>123</v>
      </c>
      <c r="Q299" s="54">
        <f>ROUND(Spotify!L319*100,0)</f>
        <v>26</v>
      </c>
      <c r="R299" s="54">
        <f>ROUND(Spotify!K319*100,0)</f>
        <v>48</v>
      </c>
      <c r="S299" s="54">
        <f>Spotify!N319</f>
        <v>-15.73</v>
      </c>
      <c r="T299" s="54">
        <f>ROUND(Spotify!T319*100,0)</f>
        <v>38</v>
      </c>
      <c r="U299" s="54">
        <f>ROUND(Spotify!F319/60000,1)</f>
        <v>5.6</v>
      </c>
      <c r="V299" s="54">
        <f>ROUND(Spotify!Q319*100,0)</f>
        <v>74</v>
      </c>
      <c r="W299" s="54">
        <f>Spotify!G319</f>
        <v>84</v>
      </c>
    </row>
    <row r="300" spans="1:23" ht="15" x14ac:dyDescent="0.3">
      <c r="A300" s="87">
        <f t="shared" ca="1" si="19"/>
        <v>0.37698955479471596</v>
      </c>
      <c r="B300" s="93" t="s">
        <v>1</v>
      </c>
      <c r="C300" s="94"/>
      <c r="D300" s="95" t="s">
        <v>445</v>
      </c>
      <c r="E300" s="94" t="s">
        <v>446</v>
      </c>
      <c r="F300" s="94"/>
      <c r="G300" s="96">
        <v>2001</v>
      </c>
      <c r="H300" s="94" t="s">
        <v>20</v>
      </c>
      <c r="I300" s="94"/>
      <c r="J300" s="88" t="s">
        <v>1526</v>
      </c>
      <c r="K300" s="90" t="str">
        <f>CONCATENATE(SUBSTITUTE(Spotify!J320,",",";"),";",J300)</f>
        <v>rock;love;slow;acoustic;waltz</v>
      </c>
      <c r="L300" s="86"/>
      <c r="M300" s="54" t="str">
        <f>Spotify!B320</f>
        <v>With Or Without You</v>
      </c>
      <c r="N300" s="92" t="str">
        <f>Spotify!D320</f>
        <v>U2</v>
      </c>
      <c r="O300" s="92">
        <f>Spotify!E320</f>
        <v>38718</v>
      </c>
      <c r="P300" s="54">
        <f>ROUND(Spotify!U320,0)</f>
        <v>110</v>
      </c>
      <c r="Q300" s="54">
        <f>ROUND(Spotify!L320*100,0)</f>
        <v>54</v>
      </c>
      <c r="R300" s="54">
        <f>ROUND(Spotify!K320*100,0)</f>
        <v>55</v>
      </c>
      <c r="S300" s="54">
        <f>Spotify!N320</f>
        <v>-7.3419999999999996</v>
      </c>
      <c r="T300" s="54">
        <f>ROUND(Spotify!T320*100,0)</f>
        <v>12</v>
      </c>
      <c r="U300" s="54">
        <f>ROUND(Spotify!F320/60000,1)</f>
        <v>4.9000000000000004</v>
      </c>
      <c r="V300" s="54">
        <f>ROUND(Spotify!Q320*100,0)</f>
        <v>0</v>
      </c>
      <c r="W300" s="54">
        <f>Spotify!G320</f>
        <v>58</v>
      </c>
    </row>
    <row r="301" spans="1:23" ht="15" x14ac:dyDescent="0.3">
      <c r="A301" s="87">
        <f t="shared" ca="1" si="19"/>
        <v>0.41119144809996333</v>
      </c>
      <c r="B301" s="93" t="s">
        <v>1</v>
      </c>
      <c r="C301" s="94"/>
      <c r="D301" s="95" t="s">
        <v>786</v>
      </c>
      <c r="E301" s="94" t="s">
        <v>787</v>
      </c>
      <c r="F301" s="94"/>
      <c r="G301" s="96">
        <v>2022</v>
      </c>
      <c r="H301" s="94" t="s">
        <v>29</v>
      </c>
      <c r="I301" s="94"/>
      <c r="J301" s="88" t="s">
        <v>1498</v>
      </c>
      <c r="K301" s="90" t="str">
        <f>CONCATENATE(SUBSTITUTE(Spotify!J321,",",";"),";",J301)</f>
        <v>blues;blues rock;classic rock;slow;acoustic;alternative;love</v>
      </c>
      <c r="L301" s="86"/>
      <c r="M301" s="54" t="str">
        <f>Spotify!B321</f>
        <v>Wonderful Tonight</v>
      </c>
      <c r="N301" s="92" t="str">
        <f>Spotify!D321</f>
        <v>Eric Clapton</v>
      </c>
      <c r="O301" s="92">
        <f>Spotify!E321</f>
        <v>28430</v>
      </c>
      <c r="P301" s="54">
        <f>ROUND(Spotify!U321,0)</f>
        <v>96</v>
      </c>
      <c r="Q301" s="54">
        <f>ROUND(Spotify!L321*100,0)</f>
        <v>21</v>
      </c>
      <c r="R301" s="54">
        <f>ROUND(Spotify!K321*100,0)</f>
        <v>57</v>
      </c>
      <c r="S301" s="54">
        <f>Spotify!N321</f>
        <v>-15.625</v>
      </c>
      <c r="T301" s="54">
        <f>ROUND(Spotify!T321*100,0)</f>
        <v>49</v>
      </c>
      <c r="U301" s="54">
        <f>ROUND(Spotify!F321/60000,1)</f>
        <v>3.8</v>
      </c>
      <c r="V301" s="54">
        <f>ROUND(Spotify!Q321*100,0)</f>
        <v>65</v>
      </c>
      <c r="W301" s="54">
        <f>Spotify!G321</f>
        <v>73</v>
      </c>
    </row>
    <row r="302" spans="1:23" ht="15" x14ac:dyDescent="0.3">
      <c r="A302" s="87">
        <f t="shared" ca="1" si="19"/>
        <v>0.80586854967998156</v>
      </c>
      <c r="B302" s="93"/>
      <c r="C302" s="101"/>
      <c r="D302" s="95" t="s">
        <v>449</v>
      </c>
      <c r="E302" s="94" t="s">
        <v>342</v>
      </c>
      <c r="F302" s="94"/>
      <c r="G302" s="96">
        <v>1983</v>
      </c>
      <c r="H302" s="94" t="s">
        <v>12</v>
      </c>
      <c r="I302" s="94" t="s">
        <v>13</v>
      </c>
      <c r="J302" s="88" t="s">
        <v>1507</v>
      </c>
      <c r="K302" s="90" t="str">
        <f>CONCATENATE(SUBSTITUTE(Spotify!J322,",",";"),";",J302)</f>
        <v>britpop;madchester;dance;fast;acoustic;love</v>
      </c>
      <c r="L302" s="86"/>
      <c r="M302" s="54" t="str">
        <f>Spotify!B322</f>
        <v>Wonderwall</v>
      </c>
      <c r="N302" s="92" t="str">
        <f>Spotify!D322</f>
        <v>Oasis</v>
      </c>
      <c r="O302" s="92">
        <f>Spotify!E322</f>
        <v>34974</v>
      </c>
      <c r="P302" s="54">
        <f>ROUND(Spotify!U322,0)</f>
        <v>175</v>
      </c>
      <c r="Q302" s="54">
        <f>ROUND(Spotify!L322*100,0)</f>
        <v>85</v>
      </c>
      <c r="R302" s="54">
        <f>ROUND(Spotify!K322*100,0)</f>
        <v>41</v>
      </c>
      <c r="S302" s="54">
        <f>Spotify!N322</f>
        <v>-5.609</v>
      </c>
      <c r="T302" s="54">
        <f>ROUND(Spotify!T322*100,0)</f>
        <v>46</v>
      </c>
      <c r="U302" s="54">
        <f>ROUND(Spotify!F322/60000,1)</f>
        <v>4.3</v>
      </c>
      <c r="V302" s="54">
        <f>ROUND(Spotify!Q322*100,0)</f>
        <v>0</v>
      </c>
      <c r="W302" s="54">
        <f>Spotify!G322</f>
        <v>78</v>
      </c>
    </row>
    <row r="303" spans="1:23" ht="15" x14ac:dyDescent="0.3">
      <c r="A303" s="87">
        <f t="shared" ca="1" si="19"/>
        <v>0.87513367903497097</v>
      </c>
      <c r="B303" s="93"/>
      <c r="C303" s="94" t="s">
        <v>93</v>
      </c>
      <c r="D303" s="89" t="s">
        <v>619</v>
      </c>
      <c r="E303" s="97" t="s">
        <v>621</v>
      </c>
      <c r="F303" s="97" t="s">
        <v>620</v>
      </c>
      <c r="G303" s="98">
        <v>2007</v>
      </c>
      <c r="H303" s="97" t="s">
        <v>13</v>
      </c>
      <c r="I303" s="97"/>
      <c r="J303" s="88" t="s">
        <v>1507</v>
      </c>
      <c r="K303" s="90" t="str">
        <f>CONCATENATE(SUBSTITUTE(Spotify!J323,",",";"),";",J303)</f>
        <v>;dance;fast;acoustic;love</v>
      </c>
      <c r="L303" s="86"/>
      <c r="M303" s="54" t="str">
        <f>Spotify!B323</f>
        <v>Yellow</v>
      </c>
      <c r="N303" s="92" t="str">
        <f>Spotify!D323</f>
        <v>Coldplay</v>
      </c>
      <c r="O303" s="92">
        <f>Spotify!E323</f>
        <v>36717</v>
      </c>
      <c r="P303" s="54">
        <f>ROUND(Spotify!U323,0)</f>
        <v>173</v>
      </c>
      <c r="Q303" s="54">
        <f>ROUND(Spotify!L323*100,0)</f>
        <v>66</v>
      </c>
      <c r="R303" s="54">
        <f>ROUND(Spotify!K323*100,0)</f>
        <v>43</v>
      </c>
      <c r="S303" s="54">
        <f>Spotify!N323</f>
        <v>-7.2270000000000003</v>
      </c>
      <c r="T303" s="54">
        <f>ROUND(Spotify!T323*100,0)</f>
        <v>29</v>
      </c>
      <c r="U303" s="54">
        <f>ROUND(Spotify!F323/60000,1)</f>
        <v>4.4000000000000004</v>
      </c>
      <c r="V303" s="54">
        <f>ROUND(Spotify!Q323*100,0)</f>
        <v>0</v>
      </c>
      <c r="W303" s="54">
        <f>Spotify!G323</f>
        <v>92</v>
      </c>
    </row>
    <row r="304" spans="1:23" ht="15" x14ac:dyDescent="0.3">
      <c r="A304" s="87">
        <f t="shared" ca="1" si="19"/>
        <v>0.73142268576509883</v>
      </c>
      <c r="B304" s="93" t="s">
        <v>1</v>
      </c>
      <c r="C304" s="94"/>
      <c r="D304" s="95" t="s">
        <v>450</v>
      </c>
      <c r="E304" s="94" t="s">
        <v>184</v>
      </c>
      <c r="F304" s="94"/>
      <c r="G304" s="96">
        <v>2010</v>
      </c>
      <c r="H304" s="94" t="s">
        <v>13</v>
      </c>
      <c r="I304" s="94" t="s">
        <v>185</v>
      </c>
      <c r="J304" s="88" t="s">
        <v>1463</v>
      </c>
      <c r="K304" s="90" t="str">
        <f>CONCATENATE(SUBSTITUTE(Spotify!J324,",",";"),";",J304)</f>
        <v>classic rock;psychedelic rock;alternative;acoustic;groovy</v>
      </c>
      <c r="L304" s="86"/>
      <c r="M304" s="54" t="str">
        <f>Spotify!B324</f>
        <v>Yesterday - Remastered 2009</v>
      </c>
      <c r="N304" s="92" t="str">
        <f>Spotify!D324</f>
        <v>The Beatles</v>
      </c>
      <c r="O304" s="92">
        <f>Spotify!E324</f>
        <v>23960</v>
      </c>
      <c r="P304" s="54">
        <f>ROUND(Spotify!U324,0)</f>
        <v>97</v>
      </c>
      <c r="Q304" s="54">
        <f>ROUND(Spotify!L324*100,0)</f>
        <v>18</v>
      </c>
      <c r="R304" s="54">
        <f>ROUND(Spotify!K324*100,0)</f>
        <v>33</v>
      </c>
      <c r="S304" s="54">
        <f>Spotify!N324</f>
        <v>-11.83</v>
      </c>
      <c r="T304" s="54">
        <f>ROUND(Spotify!T324*100,0)</f>
        <v>32</v>
      </c>
      <c r="U304" s="54">
        <f>ROUND(Spotify!F324/60000,1)</f>
        <v>2.1</v>
      </c>
      <c r="V304" s="54">
        <f>ROUND(Spotify!Q324*100,0)</f>
        <v>88</v>
      </c>
      <c r="W304" s="54">
        <f>Spotify!G324</f>
        <v>78</v>
      </c>
    </row>
    <row r="305" spans="1:23" ht="15" x14ac:dyDescent="0.3">
      <c r="A305" s="87">
        <f t="shared" ca="1" si="19"/>
        <v>1.2350279199000447E-2</v>
      </c>
      <c r="B305" s="93" t="s">
        <v>1</v>
      </c>
      <c r="C305" s="94" t="s">
        <v>77</v>
      </c>
      <c r="D305" s="95" t="s">
        <v>451</v>
      </c>
      <c r="E305" s="94" t="s">
        <v>452</v>
      </c>
      <c r="F305" s="94"/>
      <c r="G305" s="96">
        <v>1969</v>
      </c>
      <c r="H305" s="94" t="s">
        <v>13</v>
      </c>
      <c r="I305" s="94"/>
      <c r="J305" s="88" t="s">
        <v>1445</v>
      </c>
      <c r="K305" s="90" t="str">
        <f>CONCATENATE(SUBSTITUTE(Spotify!J325,",",";"),";",J305)</f>
        <v>post-grunge;dance;fast;love;groovy;oldies;retro</v>
      </c>
      <c r="L305" s="86"/>
      <c r="M305" s="54" t="str">
        <f>Spotify!B325</f>
        <v>You And Me</v>
      </c>
      <c r="N305" s="92" t="str">
        <f>Spotify!D325</f>
        <v>Lifehouse</v>
      </c>
      <c r="O305" s="92">
        <f>Spotify!E325</f>
        <v>38433</v>
      </c>
      <c r="P305" s="54">
        <f>ROUND(Spotify!U325,0)</f>
        <v>140</v>
      </c>
      <c r="Q305" s="54">
        <f>ROUND(Spotify!L325*100,0)</f>
        <v>43</v>
      </c>
      <c r="R305" s="54">
        <f>ROUND(Spotify!K325*100,0)</f>
        <v>46</v>
      </c>
      <c r="S305" s="54">
        <f>Spotify!N325</f>
        <v>-7.734</v>
      </c>
      <c r="T305" s="54">
        <f>ROUND(Spotify!T325*100,0)</f>
        <v>35</v>
      </c>
      <c r="U305" s="54">
        <f>ROUND(Spotify!F325/60000,1)</f>
        <v>3.3</v>
      </c>
      <c r="V305" s="54">
        <f>ROUND(Spotify!Q325*100,0)</f>
        <v>11</v>
      </c>
      <c r="W305" s="54">
        <f>Spotify!G325</f>
        <v>78</v>
      </c>
    </row>
    <row r="306" spans="1:23" ht="15" x14ac:dyDescent="0.3">
      <c r="A306" s="87">
        <f t="shared" ref="A306:A331" ca="1" si="20">RAND()</f>
        <v>0.86997832876398351</v>
      </c>
      <c r="B306" s="93"/>
      <c r="C306" s="94" t="s">
        <v>93</v>
      </c>
      <c r="D306" s="95" t="s">
        <v>453</v>
      </c>
      <c r="E306" s="94" t="s">
        <v>28</v>
      </c>
      <c r="F306" s="94"/>
      <c r="G306" s="96">
        <v>2008</v>
      </c>
      <c r="H306" s="94" t="s">
        <v>13</v>
      </c>
      <c r="I306" s="94" t="s">
        <v>454</v>
      </c>
      <c r="J306" s="88" t="s">
        <v>1382</v>
      </c>
      <c r="K306" s="90" t="str">
        <f>CONCATENATE(SUBSTITUTE(Spotify!J326,",",";"),";",J306)</f>
        <v>;groovy;dance;fast</v>
      </c>
      <c r="L306" s="86"/>
      <c r="M306" s="54" t="str">
        <f>Spotify!B326</f>
        <v>You Belong To Me</v>
      </c>
      <c r="N306" s="92" t="str">
        <f>Spotify!D326</f>
        <v>Bryan Adams</v>
      </c>
      <c r="O306" s="92">
        <f>Spotify!E326</f>
        <v>42293</v>
      </c>
      <c r="P306" s="54">
        <f>ROUND(Spotify!U326,0)</f>
        <v>100</v>
      </c>
      <c r="Q306" s="54">
        <f>ROUND(Spotify!L326*100,0)</f>
        <v>91</v>
      </c>
      <c r="R306" s="54">
        <f>ROUND(Spotify!K326*100,0)</f>
        <v>55</v>
      </c>
      <c r="S306" s="54">
        <f>Spotify!N326</f>
        <v>-5.6230000000000002</v>
      </c>
      <c r="T306" s="54">
        <f>ROUND(Spotify!T326*100,0)</f>
        <v>46</v>
      </c>
      <c r="U306" s="54">
        <f>ROUND(Spotify!F326/60000,1)</f>
        <v>2.5</v>
      </c>
      <c r="V306" s="54">
        <f>ROUND(Spotify!Q326*100,0)</f>
        <v>5</v>
      </c>
      <c r="W306" s="54">
        <f>Spotify!G326</f>
        <v>32</v>
      </c>
    </row>
    <row r="307" spans="1:23" ht="15" x14ac:dyDescent="0.3">
      <c r="A307" s="87">
        <f t="shared" ca="1" si="20"/>
        <v>0.23025277350027173</v>
      </c>
      <c r="B307" s="93" t="s">
        <v>1</v>
      </c>
      <c r="C307" s="94" t="s">
        <v>71</v>
      </c>
      <c r="D307" s="89" t="s">
        <v>455</v>
      </c>
      <c r="E307" s="97" t="s">
        <v>456</v>
      </c>
      <c r="F307" s="97"/>
      <c r="G307" s="98">
        <v>2013</v>
      </c>
      <c r="H307" s="97" t="s">
        <v>360</v>
      </c>
      <c r="I307" s="97"/>
      <c r="J307" s="90" t="s">
        <v>1462</v>
      </c>
      <c r="K307" s="90" t="str">
        <f>CONCATENATE(SUBSTITUTE(Spotify!J327,",",";"),";",J307)</f>
        <v>;dance;fast;love</v>
      </c>
      <c r="L307" s="86"/>
      <c r="M307" s="54" t="str">
        <f>Spotify!B327</f>
        <v>Your Song</v>
      </c>
      <c r="N307" s="92" t="str">
        <f>Spotify!D327</f>
        <v>Elton John</v>
      </c>
      <c r="O307" s="92">
        <f>Spotify!E327</f>
        <v>25668</v>
      </c>
      <c r="P307" s="54">
        <f>ROUND(Spotify!U327,0)</f>
        <v>128</v>
      </c>
      <c r="Q307" s="54">
        <f>ROUND(Spotify!L327*100,0)</f>
        <v>32</v>
      </c>
      <c r="R307" s="54">
        <f>ROUND(Spotify!K327*100,0)</f>
        <v>55</v>
      </c>
      <c r="S307" s="54">
        <f>Spotify!N327</f>
        <v>-11.028</v>
      </c>
      <c r="T307" s="54">
        <f>ROUND(Spotify!T327*100,0)</f>
        <v>32</v>
      </c>
      <c r="U307" s="54">
        <f>ROUND(Spotify!F327/60000,1)</f>
        <v>4</v>
      </c>
      <c r="V307" s="54">
        <f>ROUND(Spotify!Q327*100,0)</f>
        <v>83</v>
      </c>
      <c r="W307" s="54">
        <f>Spotify!G327</f>
        <v>81</v>
      </c>
    </row>
    <row r="308" spans="1:23" ht="15" x14ac:dyDescent="0.3">
      <c r="A308" s="87">
        <f t="shared" ca="1" si="20"/>
        <v>0.13033808501777477</v>
      </c>
      <c r="B308" s="93"/>
      <c r="C308" s="94"/>
      <c r="D308" s="95" t="s">
        <v>457</v>
      </c>
      <c r="E308" s="94" t="s">
        <v>208</v>
      </c>
      <c r="F308" s="94"/>
      <c r="G308" s="96">
        <v>2005</v>
      </c>
      <c r="H308" s="94" t="s">
        <v>12</v>
      </c>
      <c r="I308" s="94" t="s">
        <v>29</v>
      </c>
      <c r="J308" s="88" t="s">
        <v>1508</v>
      </c>
      <c r="K308" s="90" t="str">
        <f>CONCATENATE(SUBSTITUTE(Spotify!J328,",",";"),";",J308)</f>
        <v>;acoustic;alternative;slow</v>
      </c>
      <c r="L308" s="86"/>
      <c r="M308" s="54" t="str">
        <f>Spotify!B328</f>
        <v>You're Beautiful</v>
      </c>
      <c r="N308" s="92" t="str">
        <f>Spotify!D328</f>
        <v>James Blunt</v>
      </c>
      <c r="O308" s="92">
        <f>Spotify!E328</f>
        <v>38572</v>
      </c>
      <c r="P308" s="54">
        <f>ROUND(Spotify!U328,0)</f>
        <v>82</v>
      </c>
      <c r="Q308" s="54">
        <f>ROUND(Spotify!L328*100,0)</f>
        <v>48</v>
      </c>
      <c r="R308" s="54">
        <f>ROUND(Spotify!K328*100,0)</f>
        <v>68</v>
      </c>
      <c r="S308" s="54">
        <f>Spotify!N328</f>
        <v>-9.8699999999999992</v>
      </c>
      <c r="T308" s="54">
        <f>ROUND(Spotify!T328*100,0)</f>
        <v>45</v>
      </c>
      <c r="U308" s="54">
        <f>ROUND(Spotify!F328/60000,1)</f>
        <v>3.5</v>
      </c>
      <c r="V308" s="54">
        <f>ROUND(Spotify!Q328*100,0)</f>
        <v>63</v>
      </c>
      <c r="W308" s="54">
        <f>Spotify!G328</f>
        <v>78</v>
      </c>
    </row>
    <row r="309" spans="1:23" ht="15" x14ac:dyDescent="0.3">
      <c r="A309" s="87">
        <f t="shared" ca="1" si="20"/>
        <v>0.63817378279125148</v>
      </c>
      <c r="B309" s="93"/>
      <c r="C309" s="94" t="s">
        <v>55</v>
      </c>
      <c r="D309" s="100" t="s">
        <v>533</v>
      </c>
      <c r="E309" s="94" t="s">
        <v>534</v>
      </c>
      <c r="F309" s="94"/>
      <c r="G309" s="96">
        <v>2019</v>
      </c>
      <c r="H309" s="94" t="s">
        <v>13</v>
      </c>
      <c r="I309" s="94"/>
      <c r="J309" s="88" t="s">
        <v>1509</v>
      </c>
      <c r="K309" s="90" t="str">
        <f>CONCATENATE(SUBSTITUTE(Spotify!J329,",",";"),";",J309)</f>
        <v>country;dance;fast;love;groovy;acoustic</v>
      </c>
      <c r="L309" s="86"/>
      <c r="M309" s="54" t="str">
        <f>Spotify!B329</f>
        <v>You're Still The One</v>
      </c>
      <c r="N309" s="92" t="str">
        <f>Spotify!D329</f>
        <v>Shania Twain</v>
      </c>
      <c r="O309" s="92">
        <f>Spotify!E329</f>
        <v>35738</v>
      </c>
      <c r="P309" s="54">
        <f>ROUND(Spotify!U329,0)</f>
        <v>134</v>
      </c>
      <c r="Q309" s="54">
        <f>ROUND(Spotify!L329*100,0)</f>
        <v>49</v>
      </c>
      <c r="R309" s="54">
        <f>ROUND(Spotify!K329*100,0)</f>
        <v>59</v>
      </c>
      <c r="S309" s="54">
        <f>Spotify!N329</f>
        <v>-8.7509999999999994</v>
      </c>
      <c r="T309" s="54">
        <f>ROUND(Spotify!T329*100,0)</f>
        <v>63</v>
      </c>
      <c r="U309" s="54">
        <f>ROUND(Spotify!F329/60000,1)</f>
        <v>3.5</v>
      </c>
      <c r="V309" s="54">
        <f>ROUND(Spotify!Q329*100,0)</f>
        <v>36</v>
      </c>
      <c r="W309" s="54">
        <f>Spotify!G329</f>
        <v>75</v>
      </c>
    </row>
    <row r="310" spans="1:23" ht="15" x14ac:dyDescent="0.3">
      <c r="A310" s="87">
        <f t="shared" ca="1" si="20"/>
        <v>0.57699041059812717</v>
      </c>
      <c r="B310" s="111"/>
      <c r="C310" s="112" t="s">
        <v>37</v>
      </c>
      <c r="D310" s="113" t="s">
        <v>766</v>
      </c>
      <c r="E310" s="112" t="s">
        <v>274</v>
      </c>
      <c r="F310" s="112"/>
      <c r="G310" s="114">
        <v>1967</v>
      </c>
      <c r="H310" s="112" t="s">
        <v>13</v>
      </c>
      <c r="I310" s="112" t="s">
        <v>196</v>
      </c>
      <c r="J310" s="94" t="s">
        <v>1527</v>
      </c>
      <c r="K310" s="90" t="str">
        <f>CONCATENATE(SUBSTITUTE(Spotify!J332,",",";"),";",J310)</f>
        <v>;slow;acoustic;oldies;retro;love;waltz</v>
      </c>
      <c r="L310" s="86"/>
      <c r="M310" s="54">
        <f>Spotify!B332</f>
        <v>0</v>
      </c>
      <c r="N310" s="92">
        <f>Spotify!D332</f>
        <v>0</v>
      </c>
      <c r="O310" s="92">
        <f>Spotify!E332</f>
        <v>0</v>
      </c>
      <c r="P310" s="54">
        <f>ROUND(Spotify!U332,0)</f>
        <v>0</v>
      </c>
      <c r="Q310" s="54">
        <f>ROUND(Spotify!L332*100,0)</f>
        <v>0</v>
      </c>
      <c r="R310" s="54">
        <f>ROUND(Spotify!K332*100,0)</f>
        <v>0</v>
      </c>
      <c r="S310" s="54">
        <f>Spotify!N332</f>
        <v>0</v>
      </c>
      <c r="T310" s="54">
        <f>ROUND(Spotify!T332*100,0)</f>
        <v>0</v>
      </c>
      <c r="U310" s="54">
        <f>ROUND(Spotify!F332/60000,1)</f>
        <v>0</v>
      </c>
      <c r="V310" s="54">
        <f>ROUND(Spotify!Q332*100,0)</f>
        <v>0</v>
      </c>
      <c r="W310" s="54">
        <f>Spotify!G332</f>
        <v>0</v>
      </c>
    </row>
    <row r="311" spans="1:23" ht="15" x14ac:dyDescent="0.3">
      <c r="A311" s="87">
        <f t="shared" ca="1" si="20"/>
        <v>0.74489099435551731</v>
      </c>
      <c r="B311" s="107"/>
      <c r="C311" s="108" t="s">
        <v>14</v>
      </c>
      <c r="D311" s="113" t="s">
        <v>461</v>
      </c>
      <c r="E311" s="108" t="s">
        <v>462</v>
      </c>
      <c r="F311" s="108"/>
      <c r="G311" s="110">
        <v>1993</v>
      </c>
      <c r="H311" s="108" t="s">
        <v>12</v>
      </c>
      <c r="I311" s="108" t="s">
        <v>29</v>
      </c>
      <c r="J311" s="94" t="s">
        <v>1510</v>
      </c>
      <c r="K311" s="90" t="str">
        <f>CONCATENATE(SUBSTITUTE(Spotify!J333,",",";"),";",J311)</f>
        <v>;slow;groovy;alternative</v>
      </c>
      <c r="L311" s="86"/>
      <c r="M311" s="54">
        <f>Spotify!B333</f>
        <v>0</v>
      </c>
      <c r="N311" s="92">
        <f>Spotify!D333</f>
        <v>0</v>
      </c>
      <c r="O311" s="92">
        <f>Spotify!E333</f>
        <v>0</v>
      </c>
      <c r="P311" s="54">
        <f>ROUND(Spotify!U333,0)</f>
        <v>0</v>
      </c>
      <c r="Q311" s="54">
        <f>ROUND(Spotify!L333*100,0)</f>
        <v>0</v>
      </c>
      <c r="R311" s="54">
        <f>ROUND(Spotify!K333*100,0)</f>
        <v>0</v>
      </c>
      <c r="S311" s="54">
        <f>Spotify!N333</f>
        <v>0</v>
      </c>
      <c r="T311" s="54">
        <f>ROUND(Spotify!T333*100,0)</f>
        <v>0</v>
      </c>
      <c r="U311" s="54">
        <f>ROUND(Spotify!F333/60000,1)</f>
        <v>0</v>
      </c>
      <c r="V311" s="54">
        <f>ROUND(Spotify!Q333*100,0)</f>
        <v>0</v>
      </c>
      <c r="W311" s="54">
        <f>Spotify!G333</f>
        <v>0</v>
      </c>
    </row>
    <row r="312" spans="1:23" ht="15" x14ac:dyDescent="0.3">
      <c r="A312" s="87">
        <f t="shared" ca="1" si="20"/>
        <v>6.4684968931240316E-2</v>
      </c>
      <c r="B312" s="107"/>
      <c r="C312" s="108" t="s">
        <v>46</v>
      </c>
      <c r="D312" s="113" t="s">
        <v>1359</v>
      </c>
      <c r="E312" s="108" t="s">
        <v>1361</v>
      </c>
      <c r="F312" s="108" t="s">
        <v>1364</v>
      </c>
      <c r="G312" s="110">
        <v>1999</v>
      </c>
      <c r="H312" s="108" t="s">
        <v>13</v>
      </c>
      <c r="I312" s="108" t="s">
        <v>49</v>
      </c>
      <c r="J312" s="94" t="s">
        <v>1459</v>
      </c>
      <c r="K312" s="90" t="str">
        <f>CONCATENATE(SUBSTITUTE(Spotify!J334,",",";"),";",J312)</f>
        <v>;groovy;dance;love;acoustic</v>
      </c>
      <c r="L312" s="86"/>
      <c r="M312" s="54">
        <f>Spotify!B334</f>
        <v>0</v>
      </c>
      <c r="N312" s="92">
        <f>Spotify!D334</f>
        <v>0</v>
      </c>
      <c r="O312" s="92">
        <f>Spotify!E334</f>
        <v>0</v>
      </c>
      <c r="P312" s="54">
        <f>ROUND(Spotify!U334,0)</f>
        <v>0</v>
      </c>
      <c r="Q312" s="54">
        <f>ROUND(Spotify!L334*100,0)</f>
        <v>0</v>
      </c>
      <c r="R312" s="54">
        <f>ROUND(Spotify!K334*100,0)</f>
        <v>0</v>
      </c>
      <c r="S312" s="54">
        <f>Spotify!N334</f>
        <v>0</v>
      </c>
      <c r="T312" s="54">
        <f>ROUND(Spotify!T334*100,0)</f>
        <v>0</v>
      </c>
      <c r="U312" s="54">
        <f>ROUND(Spotify!F334/60000,1)</f>
        <v>0</v>
      </c>
      <c r="V312" s="54">
        <f>ROUND(Spotify!Q334*100,0)</f>
        <v>0</v>
      </c>
      <c r="W312" s="54">
        <f>Spotify!G334</f>
        <v>0</v>
      </c>
    </row>
    <row r="313" spans="1:23" ht="15" x14ac:dyDescent="0.3">
      <c r="A313" s="87">
        <f t="shared" ca="1" si="20"/>
        <v>3.9116540237918107E-2</v>
      </c>
      <c r="B313" s="107"/>
      <c r="C313" s="108" t="s">
        <v>37</v>
      </c>
      <c r="D313" s="113" t="s">
        <v>463</v>
      </c>
      <c r="E313" s="108" t="s">
        <v>558</v>
      </c>
      <c r="F313" s="108"/>
      <c r="G313" s="110">
        <v>2006</v>
      </c>
      <c r="H313" s="108" t="s">
        <v>12</v>
      </c>
      <c r="I313" s="108" t="s">
        <v>29</v>
      </c>
      <c r="J313" s="94" t="s">
        <v>1406</v>
      </c>
      <c r="K313" s="90" t="str">
        <f>CONCATENATE(SUBSTITUTE(Spotify!J335,",",";"),";",J313)</f>
        <v>;alternative;acoustic;love</v>
      </c>
      <c r="L313" s="86"/>
      <c r="M313" s="54">
        <f>Spotify!B335</f>
        <v>0</v>
      </c>
      <c r="N313" s="92">
        <f>Spotify!D335</f>
        <v>0</v>
      </c>
      <c r="O313" s="92">
        <f>Spotify!E335</f>
        <v>0</v>
      </c>
      <c r="P313" s="54">
        <f>ROUND(Spotify!U335,0)</f>
        <v>0</v>
      </c>
      <c r="Q313" s="54">
        <f>ROUND(Spotify!L335*100,0)</f>
        <v>0</v>
      </c>
      <c r="R313" s="54">
        <f>ROUND(Spotify!K335*100,0)</f>
        <v>0</v>
      </c>
      <c r="S313" s="54">
        <f>Spotify!N335</f>
        <v>0</v>
      </c>
      <c r="T313" s="54">
        <f>ROUND(Spotify!T335*100,0)</f>
        <v>0</v>
      </c>
      <c r="U313" s="54">
        <f>ROUND(Spotify!F335/60000,1)</f>
        <v>0</v>
      </c>
      <c r="V313" s="54">
        <f>ROUND(Spotify!Q335*100,0)</f>
        <v>0</v>
      </c>
      <c r="W313" s="54">
        <f>Spotify!G335</f>
        <v>0</v>
      </c>
    </row>
    <row r="314" spans="1:23" ht="15" x14ac:dyDescent="0.3">
      <c r="A314" s="87">
        <f t="shared" ca="1" si="20"/>
        <v>0.38358518266755082</v>
      </c>
      <c r="B314" s="107" t="s">
        <v>1</v>
      </c>
      <c r="C314" s="108" t="s">
        <v>615</v>
      </c>
      <c r="D314" s="113" t="s">
        <v>616</v>
      </c>
      <c r="E314" s="108" t="s">
        <v>324</v>
      </c>
      <c r="F314" s="108"/>
      <c r="G314" s="110">
        <v>2001</v>
      </c>
      <c r="H314" s="108" t="s">
        <v>13</v>
      </c>
      <c r="I314" s="108"/>
      <c r="J314" s="88" t="s">
        <v>1455</v>
      </c>
      <c r="K314" s="90" t="str">
        <f>CONCATENATE(SUBSTITUTE(Spotify!J336,",",";"),";",J314)</f>
        <v>;groovy;dance;fast;love</v>
      </c>
      <c r="L314" s="86"/>
      <c r="M314" s="54">
        <f>Spotify!B336</f>
        <v>0</v>
      </c>
      <c r="N314" s="92">
        <f>Spotify!D336</f>
        <v>0</v>
      </c>
      <c r="O314" s="92">
        <f>Spotify!E336</f>
        <v>0</v>
      </c>
      <c r="P314" s="54">
        <f>ROUND(Spotify!U336,0)</f>
        <v>0</v>
      </c>
      <c r="Q314" s="54">
        <f>ROUND(Spotify!L336*100,0)</f>
        <v>0</v>
      </c>
      <c r="R314" s="54">
        <f>ROUND(Spotify!K336*100,0)</f>
        <v>0</v>
      </c>
      <c r="S314" s="54">
        <f>Spotify!N336</f>
        <v>0</v>
      </c>
      <c r="T314" s="54">
        <f>ROUND(Spotify!T336*100,0)</f>
        <v>0</v>
      </c>
      <c r="U314" s="54">
        <f>ROUND(Spotify!F336/60000,1)</f>
        <v>0</v>
      </c>
      <c r="V314" s="54">
        <f>ROUND(Spotify!Q336*100,0)</f>
        <v>0</v>
      </c>
      <c r="W314" s="54">
        <f>Spotify!G336</f>
        <v>0</v>
      </c>
    </row>
    <row r="315" spans="1:23" ht="15" x14ac:dyDescent="0.3">
      <c r="A315" s="87">
        <f t="shared" ca="1" si="20"/>
        <v>0.66278033336759923</v>
      </c>
      <c r="B315" s="107"/>
      <c r="C315" s="108" t="s">
        <v>17</v>
      </c>
      <c r="D315" s="109" t="s">
        <v>465</v>
      </c>
      <c r="E315" s="108" t="s">
        <v>466</v>
      </c>
      <c r="F315" s="108"/>
      <c r="G315" s="110">
        <v>2003</v>
      </c>
      <c r="H315" s="108" t="s">
        <v>13</v>
      </c>
      <c r="I315" s="108"/>
      <c r="J315" s="88" t="s">
        <v>1484</v>
      </c>
      <c r="K315" s="90" t="str">
        <f>CONCATENATE(SUBSTITUTE(Spotify!J337,",",";"),";",J315)</f>
        <v>;slow;love;acoustic</v>
      </c>
      <c r="L315" s="86"/>
      <c r="M315" s="54">
        <f>Spotify!B337</f>
        <v>0</v>
      </c>
      <c r="N315" s="92">
        <f>Spotify!D337</f>
        <v>0</v>
      </c>
      <c r="O315" s="92">
        <f>Spotify!E337</f>
        <v>0</v>
      </c>
      <c r="P315" s="54">
        <f>ROUND(Spotify!U337,0)</f>
        <v>0</v>
      </c>
      <c r="Q315" s="54">
        <f>ROUND(Spotify!L337*100,0)</f>
        <v>0</v>
      </c>
      <c r="R315" s="54">
        <f>ROUND(Spotify!K337*100,0)</f>
        <v>0</v>
      </c>
      <c r="S315" s="54">
        <f>Spotify!N337</f>
        <v>0</v>
      </c>
      <c r="T315" s="54">
        <f>ROUND(Spotify!T337*100,0)</f>
        <v>0</v>
      </c>
      <c r="U315" s="54">
        <f>ROUND(Spotify!F337/60000,1)</f>
        <v>0</v>
      </c>
      <c r="V315" s="54">
        <f>ROUND(Spotify!Q337*100,0)</f>
        <v>0</v>
      </c>
      <c r="W315" s="54">
        <f>Spotify!G337</f>
        <v>0</v>
      </c>
    </row>
    <row r="316" spans="1:23" ht="15" x14ac:dyDescent="0.3">
      <c r="A316" s="87">
        <f t="shared" ca="1" si="20"/>
        <v>0.59938191224567339</v>
      </c>
      <c r="B316" s="107"/>
      <c r="C316" s="108" t="s">
        <v>71</v>
      </c>
      <c r="D316" s="109" t="s">
        <v>467</v>
      </c>
      <c r="E316" s="108" t="s">
        <v>468</v>
      </c>
      <c r="F316" s="108"/>
      <c r="G316" s="110">
        <v>1988</v>
      </c>
      <c r="H316" s="108" t="s">
        <v>12</v>
      </c>
      <c r="I316" s="108" t="s">
        <v>33</v>
      </c>
      <c r="J316" s="88" t="s">
        <v>1435</v>
      </c>
      <c r="K316" s="90" t="str">
        <f>CONCATENATE(SUBSTITUTE(Spotify!J338,",",";"),";",J316)</f>
        <v>;slow;oldies;retro;love;acoustic</v>
      </c>
      <c r="L316" s="86"/>
      <c r="M316" s="54">
        <f>Spotify!B338</f>
        <v>0</v>
      </c>
      <c r="N316" s="92">
        <f>Spotify!D338</f>
        <v>0</v>
      </c>
      <c r="O316" s="92">
        <f>Spotify!E338</f>
        <v>0</v>
      </c>
      <c r="P316" s="54">
        <f>ROUND(Spotify!U338,0)</f>
        <v>0</v>
      </c>
      <c r="Q316" s="54">
        <f>ROUND(Spotify!L338*100,0)</f>
        <v>0</v>
      </c>
      <c r="R316" s="54">
        <f>ROUND(Spotify!K338*100,0)</f>
        <v>0</v>
      </c>
      <c r="S316" s="54">
        <f>Spotify!N338</f>
        <v>0</v>
      </c>
      <c r="T316" s="54">
        <f>ROUND(Spotify!T338*100,0)</f>
        <v>0</v>
      </c>
      <c r="U316" s="54">
        <f>ROUND(Spotify!F338/60000,1)</f>
        <v>0</v>
      </c>
      <c r="V316" s="54">
        <f>ROUND(Spotify!Q338*100,0)</f>
        <v>0</v>
      </c>
      <c r="W316" s="54">
        <f>Spotify!G338</f>
        <v>0</v>
      </c>
    </row>
    <row r="317" spans="1:23" ht="15" x14ac:dyDescent="0.3">
      <c r="A317" s="87">
        <f t="shared" ca="1" si="20"/>
        <v>0.22041274498343855</v>
      </c>
      <c r="B317" s="107"/>
      <c r="C317" s="108" t="s">
        <v>77</v>
      </c>
      <c r="D317" s="113" t="s">
        <v>469</v>
      </c>
      <c r="E317" s="112" t="s">
        <v>470</v>
      </c>
      <c r="F317" s="112"/>
      <c r="G317" s="114">
        <v>1970</v>
      </c>
      <c r="H317" s="112" t="s">
        <v>12</v>
      </c>
      <c r="I317" s="112" t="s">
        <v>63</v>
      </c>
      <c r="J317" s="88" t="s">
        <v>1435</v>
      </c>
      <c r="K317" s="90" t="str">
        <f>CONCATENATE(SUBSTITUTE(Spotify!J339,",",";"),";",J317)</f>
        <v>;slow;oldies;retro;love;acoustic</v>
      </c>
      <c r="L317" s="86"/>
      <c r="M317" s="54">
        <f>Spotify!B339</f>
        <v>0</v>
      </c>
      <c r="N317" s="92">
        <f>Spotify!D339</f>
        <v>0</v>
      </c>
      <c r="O317" s="92">
        <f>Spotify!E339</f>
        <v>0</v>
      </c>
      <c r="P317" s="54">
        <f>ROUND(Spotify!U339,0)</f>
        <v>0</v>
      </c>
      <c r="Q317" s="54">
        <f>ROUND(Spotify!L339*100,0)</f>
        <v>0</v>
      </c>
      <c r="R317" s="54">
        <f>ROUND(Spotify!K339*100,0)</f>
        <v>0</v>
      </c>
      <c r="S317" s="54">
        <f>Spotify!N339</f>
        <v>0</v>
      </c>
      <c r="T317" s="54">
        <f>ROUND(Spotify!T339*100,0)</f>
        <v>0</v>
      </c>
      <c r="U317" s="54">
        <f>ROUND(Spotify!F339/60000,1)</f>
        <v>0</v>
      </c>
      <c r="V317" s="54">
        <f>ROUND(Spotify!Q339*100,0)</f>
        <v>0</v>
      </c>
      <c r="W317" s="54">
        <f>Spotify!G339</f>
        <v>0</v>
      </c>
    </row>
    <row r="318" spans="1:23" ht="15" x14ac:dyDescent="0.3">
      <c r="A318" s="87">
        <f t="shared" ca="1" si="20"/>
        <v>0.40914715968214044</v>
      </c>
      <c r="B318" s="107" t="s">
        <v>1</v>
      </c>
      <c r="C318" s="108"/>
      <c r="D318" s="109" t="s">
        <v>471</v>
      </c>
      <c r="E318" s="108" t="s">
        <v>11</v>
      </c>
      <c r="F318" s="108"/>
      <c r="G318" s="110">
        <v>2004</v>
      </c>
      <c r="H318" s="108" t="s">
        <v>13</v>
      </c>
      <c r="I318" s="108"/>
      <c r="J318" s="88" t="s">
        <v>1463</v>
      </c>
      <c r="K318" s="90" t="str">
        <f>CONCATENATE(SUBSTITUTE(Spotify!J340,",",";"),";",J318)</f>
        <v>;alternative;acoustic;groovy</v>
      </c>
      <c r="L318" s="86"/>
      <c r="M318" s="54">
        <f>Spotify!B340</f>
        <v>0</v>
      </c>
      <c r="N318" s="92">
        <f>Spotify!D340</f>
        <v>0</v>
      </c>
      <c r="O318" s="92">
        <f>Spotify!E340</f>
        <v>0</v>
      </c>
      <c r="P318" s="54">
        <f>ROUND(Spotify!U340,0)</f>
        <v>0</v>
      </c>
      <c r="Q318" s="54">
        <f>ROUND(Spotify!L340*100,0)</f>
        <v>0</v>
      </c>
      <c r="R318" s="54">
        <f>ROUND(Spotify!K340*100,0)</f>
        <v>0</v>
      </c>
      <c r="S318" s="54">
        <f>Spotify!N340</f>
        <v>0</v>
      </c>
      <c r="T318" s="54">
        <f>ROUND(Spotify!T340*100,0)</f>
        <v>0</v>
      </c>
      <c r="U318" s="54">
        <f>ROUND(Spotify!F340/60000,1)</f>
        <v>0</v>
      </c>
      <c r="V318" s="54">
        <f>ROUND(Spotify!Q340*100,0)</f>
        <v>0</v>
      </c>
      <c r="W318" s="54">
        <f>Spotify!G340</f>
        <v>0</v>
      </c>
    </row>
    <row r="319" spans="1:23" ht="15" x14ac:dyDescent="0.3">
      <c r="A319" s="87">
        <f t="shared" ca="1" si="20"/>
        <v>0.52300560411824049</v>
      </c>
      <c r="B319" s="102" t="s">
        <v>1</v>
      </c>
      <c r="C319" s="101" t="s">
        <v>10</v>
      </c>
      <c r="D319" s="95" t="s">
        <v>472</v>
      </c>
      <c r="E319" s="101" t="s">
        <v>473</v>
      </c>
      <c r="F319" s="101"/>
      <c r="G319" s="103">
        <v>1975</v>
      </c>
      <c r="H319" s="101" t="s">
        <v>12</v>
      </c>
      <c r="I319" s="101" t="s">
        <v>474</v>
      </c>
      <c r="J319" s="88" t="s">
        <v>1511</v>
      </c>
      <c r="K319" s="90" t="str">
        <f>CONCATENATE(SUBSTITUTE(Spotify!J341,",",";"),";",J319)</f>
        <v>;slow;acoustic;alternative;love;oldies;retro</v>
      </c>
      <c r="L319" s="86"/>
      <c r="M319" s="54">
        <f>Spotify!B341</f>
        <v>0</v>
      </c>
      <c r="N319" s="92">
        <f>Spotify!D341</f>
        <v>0</v>
      </c>
      <c r="O319" s="92">
        <f>Spotify!E341</f>
        <v>0</v>
      </c>
      <c r="P319" s="54">
        <f>ROUND(Spotify!U341,0)</f>
        <v>0</v>
      </c>
      <c r="Q319" s="54">
        <f>ROUND(Spotify!L341*100,0)</f>
        <v>0</v>
      </c>
      <c r="R319" s="54">
        <f>ROUND(Spotify!K341*100,0)</f>
        <v>0</v>
      </c>
      <c r="S319" s="54">
        <f>Spotify!N341</f>
        <v>0</v>
      </c>
      <c r="T319" s="54">
        <f>ROUND(Spotify!T341*100,0)</f>
        <v>0</v>
      </c>
      <c r="U319" s="54">
        <f>ROUND(Spotify!F341/60000,1)</f>
        <v>0</v>
      </c>
      <c r="V319" s="54">
        <f>ROUND(Spotify!Q341*100,0)</f>
        <v>0</v>
      </c>
      <c r="W319" s="54">
        <f>Spotify!G341</f>
        <v>0</v>
      </c>
    </row>
    <row r="320" spans="1:23" ht="15" x14ac:dyDescent="0.3">
      <c r="A320" s="87">
        <f t="shared" ca="1" si="20"/>
        <v>0.95019557984522007</v>
      </c>
      <c r="B320" s="102"/>
      <c r="C320" s="101"/>
      <c r="D320" s="95" t="s">
        <v>1575</v>
      </c>
      <c r="E320" s="101" t="s">
        <v>1574</v>
      </c>
      <c r="F320" s="101"/>
      <c r="G320" s="103">
        <v>1987</v>
      </c>
      <c r="H320" s="101" t="s">
        <v>12</v>
      </c>
      <c r="I320" s="101" t="s">
        <v>1576</v>
      </c>
      <c r="J320" s="88" t="s">
        <v>1577</v>
      </c>
      <c r="K320" s="90" t="str">
        <f>CONCATENATE(SUBSTITUTE(Spotify!J342,",",";"),";",J320)</f>
        <v>;slow;acoustic;love</v>
      </c>
      <c r="L320" s="86"/>
      <c r="M320" s="54">
        <f>Spotify!B342</f>
        <v>0</v>
      </c>
      <c r="N320" s="92">
        <f>Spotify!D342</f>
        <v>0</v>
      </c>
      <c r="O320" s="92">
        <f>Spotify!E342</f>
        <v>0</v>
      </c>
      <c r="P320" s="54">
        <f>ROUND(Spotify!U342,0)</f>
        <v>0</v>
      </c>
      <c r="Q320" s="54">
        <f>ROUND(Spotify!L342*100,0)</f>
        <v>0</v>
      </c>
      <c r="R320" s="54">
        <f>ROUND(Spotify!K342*100,0)</f>
        <v>0</v>
      </c>
      <c r="S320" s="54">
        <f>Spotify!N342</f>
        <v>0</v>
      </c>
      <c r="T320" s="54">
        <f>ROUND(Spotify!T342*100,0)</f>
        <v>0</v>
      </c>
      <c r="U320" s="54">
        <f>ROUND(Spotify!F342/60000,1)</f>
        <v>0</v>
      </c>
      <c r="V320" s="54">
        <f>ROUND(Spotify!Q342*100,0)</f>
        <v>0</v>
      </c>
      <c r="W320" s="54">
        <f>Spotify!G342</f>
        <v>0</v>
      </c>
    </row>
    <row r="321" spans="1:23" ht="15" x14ac:dyDescent="0.3">
      <c r="A321" s="87">
        <f t="shared" ca="1" si="20"/>
        <v>0.27225714608232932</v>
      </c>
      <c r="B321" s="93"/>
      <c r="C321" s="94"/>
      <c r="D321" s="95" t="s">
        <v>475</v>
      </c>
      <c r="E321" s="94" t="s">
        <v>64</v>
      </c>
      <c r="F321" s="94"/>
      <c r="G321" s="96">
        <v>1977</v>
      </c>
      <c r="H321" s="94" t="s">
        <v>12</v>
      </c>
      <c r="I321" s="94" t="s">
        <v>33</v>
      </c>
      <c r="J321" s="88" t="s">
        <v>1512</v>
      </c>
      <c r="K321" s="90" t="str">
        <f>CONCATENATE(SUBSTITUTE(Spotify!J343,",",";"),";",J321)</f>
        <v>;slow;acoustic;love;retro;oldies</v>
      </c>
      <c r="L321" s="86"/>
      <c r="M321" s="54">
        <f>Spotify!B343</f>
        <v>0</v>
      </c>
      <c r="N321" s="92">
        <f>Spotify!D343</f>
        <v>0</v>
      </c>
      <c r="O321" s="92">
        <f>Spotify!E343</f>
        <v>0</v>
      </c>
      <c r="P321" s="54">
        <f>ROUND(Spotify!U343,0)</f>
        <v>0</v>
      </c>
      <c r="Q321" s="54">
        <f>ROUND(Spotify!L343*100,0)</f>
        <v>0</v>
      </c>
      <c r="R321" s="54">
        <f>ROUND(Spotify!K343*100,0)</f>
        <v>0</v>
      </c>
      <c r="S321" s="54">
        <f>Spotify!N343</f>
        <v>0</v>
      </c>
      <c r="T321" s="54">
        <f>ROUND(Spotify!T343*100,0)</f>
        <v>0</v>
      </c>
      <c r="U321" s="54">
        <f>ROUND(Spotify!F343/60000,1)</f>
        <v>0</v>
      </c>
      <c r="V321" s="54">
        <f>ROUND(Spotify!Q343*100,0)</f>
        <v>0</v>
      </c>
      <c r="W321" s="54">
        <f>Spotify!G343</f>
        <v>0</v>
      </c>
    </row>
    <row r="322" spans="1:23" ht="15" x14ac:dyDescent="0.3">
      <c r="A322" s="87">
        <f t="shared" ca="1" si="20"/>
        <v>0.2110775788379301</v>
      </c>
      <c r="B322" s="93"/>
      <c r="C322" s="94" t="s">
        <v>10</v>
      </c>
      <c r="D322" s="95" t="s">
        <v>476</v>
      </c>
      <c r="E322" s="94" t="s">
        <v>153</v>
      </c>
      <c r="F322" s="94"/>
      <c r="G322" s="96">
        <v>1995</v>
      </c>
      <c r="H322" s="94" t="s">
        <v>13</v>
      </c>
      <c r="I322" s="94"/>
      <c r="J322" s="88" t="s">
        <v>1463</v>
      </c>
      <c r="K322" s="90" t="str">
        <f>CONCATENATE(SUBSTITUTE(Spotify!J344,",",";"),";",J322)</f>
        <v>;alternative;acoustic;groovy</v>
      </c>
      <c r="L322" s="86"/>
      <c r="M322" s="54">
        <f>Spotify!B344</f>
        <v>0</v>
      </c>
      <c r="N322" s="92">
        <f>Spotify!D344</f>
        <v>0</v>
      </c>
      <c r="O322" s="92">
        <f>Spotify!E344</f>
        <v>0</v>
      </c>
      <c r="P322" s="54">
        <f>ROUND(Spotify!U344,0)</f>
        <v>0</v>
      </c>
      <c r="Q322" s="54">
        <f>ROUND(Spotify!L344*100,0)</f>
        <v>0</v>
      </c>
      <c r="R322" s="54">
        <f>ROUND(Spotify!K344*100,0)</f>
        <v>0</v>
      </c>
      <c r="S322" s="54">
        <f>Spotify!N344</f>
        <v>0</v>
      </c>
      <c r="T322" s="54">
        <f>ROUND(Spotify!T344*100,0)</f>
        <v>0</v>
      </c>
      <c r="U322" s="54">
        <f>ROUND(Spotify!F344/60000,1)</f>
        <v>0</v>
      </c>
      <c r="V322" s="54">
        <f>ROUND(Spotify!Q344*100,0)</f>
        <v>0</v>
      </c>
      <c r="W322" s="54">
        <f>Spotify!G344</f>
        <v>0</v>
      </c>
    </row>
    <row r="323" spans="1:23" ht="15" x14ac:dyDescent="0.3">
      <c r="A323" s="87">
        <f t="shared" ca="1" si="20"/>
        <v>0.82587098152394112</v>
      </c>
      <c r="B323" s="93"/>
      <c r="C323" s="94"/>
      <c r="D323" s="95" t="s">
        <v>477</v>
      </c>
      <c r="E323" s="94" t="s">
        <v>28</v>
      </c>
      <c r="F323" s="94"/>
      <c r="G323" s="96">
        <v>2000</v>
      </c>
      <c r="H323" s="94" t="s">
        <v>12</v>
      </c>
      <c r="I323" s="94" t="s">
        <v>29</v>
      </c>
      <c r="J323" s="88" t="s">
        <v>1513</v>
      </c>
      <c r="K323" s="90" t="str">
        <f>CONCATENATE(SUBSTITUTE(Spotify!J345,",",";"),";",J323)</f>
        <v>;slow;dance;alternative;love</v>
      </c>
      <c r="L323" s="86"/>
      <c r="M323" s="54">
        <f>Spotify!B345</f>
        <v>0</v>
      </c>
      <c r="N323" s="92">
        <f>Spotify!D345</f>
        <v>0</v>
      </c>
      <c r="O323" s="92">
        <f>Spotify!E345</f>
        <v>0</v>
      </c>
      <c r="P323" s="54">
        <f>ROUND(Spotify!U345,0)</f>
        <v>0</v>
      </c>
      <c r="Q323" s="54">
        <f>ROUND(Spotify!L345*100,0)</f>
        <v>0</v>
      </c>
      <c r="R323" s="54">
        <f>ROUND(Spotify!K345*100,0)</f>
        <v>0</v>
      </c>
      <c r="S323" s="54">
        <f>Spotify!N345</f>
        <v>0</v>
      </c>
      <c r="T323" s="54">
        <f>ROUND(Spotify!T345*100,0)</f>
        <v>0</v>
      </c>
      <c r="U323" s="54">
        <f>ROUND(Spotify!F345/60000,1)</f>
        <v>0</v>
      </c>
      <c r="V323" s="54">
        <f>ROUND(Spotify!Q345*100,0)</f>
        <v>0</v>
      </c>
      <c r="W323" s="54">
        <f>Spotify!G345</f>
        <v>0</v>
      </c>
    </row>
    <row r="324" spans="1:23" ht="15" x14ac:dyDescent="0.3">
      <c r="A324" s="87">
        <f t="shared" ca="1" si="20"/>
        <v>0.78217326165817114</v>
      </c>
      <c r="B324" s="93"/>
      <c r="C324" s="94"/>
      <c r="D324" s="95" t="s">
        <v>478</v>
      </c>
      <c r="E324" s="97" t="s">
        <v>90</v>
      </c>
      <c r="F324" s="94"/>
      <c r="G324" s="96">
        <v>1965</v>
      </c>
      <c r="H324" s="94" t="s">
        <v>13</v>
      </c>
      <c r="I324" s="94" t="s">
        <v>454</v>
      </c>
      <c r="J324" s="88" t="s">
        <v>1491</v>
      </c>
      <c r="K324" s="90" t="str">
        <f>CONCATENATE(SUBSTITUTE(Spotify!J346,",",";"),";",J324)</f>
        <v>;oldies;retro;acoustic</v>
      </c>
      <c r="L324" s="86"/>
      <c r="M324" s="54">
        <f>Spotify!B346</f>
        <v>0</v>
      </c>
      <c r="N324" s="92">
        <f>Spotify!D346</f>
        <v>0</v>
      </c>
      <c r="O324" s="92">
        <f>Spotify!E346</f>
        <v>0</v>
      </c>
      <c r="P324" s="54">
        <f>ROUND(Spotify!U346,0)</f>
        <v>0</v>
      </c>
      <c r="Q324" s="54">
        <f>ROUND(Spotify!L346*100,0)</f>
        <v>0</v>
      </c>
      <c r="R324" s="54">
        <f>ROUND(Spotify!K346*100,0)</f>
        <v>0</v>
      </c>
      <c r="S324" s="54">
        <f>Spotify!N346</f>
        <v>0</v>
      </c>
      <c r="T324" s="54">
        <f>ROUND(Spotify!T346*100,0)</f>
        <v>0</v>
      </c>
      <c r="U324" s="54">
        <f>ROUND(Spotify!F346/60000,1)</f>
        <v>0</v>
      </c>
      <c r="V324" s="54">
        <f>ROUND(Spotify!Q346*100,0)</f>
        <v>0</v>
      </c>
      <c r="W324" s="54">
        <f>Spotify!G346</f>
        <v>0</v>
      </c>
    </row>
    <row r="325" spans="1:23" ht="15" x14ac:dyDescent="0.3">
      <c r="A325" s="87">
        <f t="shared" ca="1" si="20"/>
        <v>0.67301750442204455</v>
      </c>
      <c r="B325" s="93" t="s">
        <v>1</v>
      </c>
      <c r="C325" s="94" t="s">
        <v>46</v>
      </c>
      <c r="D325" s="95" t="s">
        <v>479</v>
      </c>
      <c r="E325" s="94" t="s">
        <v>480</v>
      </c>
      <c r="F325" s="94"/>
      <c r="G325" s="96">
        <v>2005</v>
      </c>
      <c r="H325" s="94" t="s">
        <v>12</v>
      </c>
      <c r="I325" s="94" t="s">
        <v>481</v>
      </c>
      <c r="J325" s="88" t="s">
        <v>1528</v>
      </c>
      <c r="K325" s="90" t="str">
        <f>CONCATENATE(SUBSTITUTE(Spotify!J347,",",";"),";",J325)</f>
        <v>;slow;love;acoustic;alternative;groovy;waltz</v>
      </c>
      <c r="L325" s="86"/>
      <c r="M325" s="54">
        <f>Spotify!B347</f>
        <v>0</v>
      </c>
      <c r="N325" s="92">
        <f>Spotify!D347</f>
        <v>0</v>
      </c>
      <c r="O325" s="92">
        <f>Spotify!E347</f>
        <v>0</v>
      </c>
      <c r="P325" s="54">
        <f>ROUND(Spotify!U347,0)</f>
        <v>0</v>
      </c>
      <c r="Q325" s="54">
        <f>ROUND(Spotify!L347*100,0)</f>
        <v>0</v>
      </c>
      <c r="R325" s="54">
        <f>ROUND(Spotify!K347*100,0)</f>
        <v>0</v>
      </c>
      <c r="S325" s="54">
        <f>Spotify!N347</f>
        <v>0</v>
      </c>
      <c r="T325" s="54">
        <f>ROUND(Spotify!T347*100,0)</f>
        <v>0</v>
      </c>
      <c r="U325" s="54">
        <f>ROUND(Spotify!F347/60000,1)</f>
        <v>0</v>
      </c>
      <c r="V325" s="54">
        <f>ROUND(Spotify!Q347*100,0)</f>
        <v>0</v>
      </c>
      <c r="W325" s="54">
        <f>Spotify!G347</f>
        <v>0</v>
      </c>
    </row>
    <row r="326" spans="1:23" ht="15" x14ac:dyDescent="0.3">
      <c r="A326" s="87">
        <f t="shared" ca="1" si="20"/>
        <v>9.9347894374611778E-2</v>
      </c>
      <c r="B326" s="93"/>
      <c r="C326" s="94"/>
      <c r="D326" s="95" t="s">
        <v>482</v>
      </c>
      <c r="E326" s="94" t="s">
        <v>122</v>
      </c>
      <c r="F326" s="94"/>
      <c r="G326" s="96">
        <v>2015</v>
      </c>
      <c r="H326" s="94" t="s">
        <v>12</v>
      </c>
      <c r="I326" s="94"/>
      <c r="J326" s="88" t="s">
        <v>1547</v>
      </c>
      <c r="K326" s="90" t="str">
        <f>CONCATENATE(SUBSTITUTE(Spotify!J348,",",";"),";",J326)</f>
        <v>;fast;dance;groovy;love</v>
      </c>
      <c r="L326" s="86"/>
      <c r="M326" s="54">
        <f>Spotify!B348</f>
        <v>0</v>
      </c>
      <c r="N326" s="92">
        <f>Spotify!D348</f>
        <v>0</v>
      </c>
      <c r="O326" s="92">
        <f>Spotify!E348</f>
        <v>0</v>
      </c>
      <c r="P326" s="54">
        <f>ROUND(Spotify!U348,0)</f>
        <v>0</v>
      </c>
      <c r="Q326" s="54">
        <f>ROUND(Spotify!L348*100,0)</f>
        <v>0</v>
      </c>
      <c r="R326" s="54">
        <f>ROUND(Spotify!K348*100,0)</f>
        <v>0</v>
      </c>
      <c r="S326" s="54">
        <f>Spotify!N348</f>
        <v>0</v>
      </c>
      <c r="T326" s="54">
        <f>ROUND(Spotify!T348*100,0)</f>
        <v>0</v>
      </c>
      <c r="U326" s="54">
        <f>ROUND(Spotify!F348/60000,1)</f>
        <v>0</v>
      </c>
      <c r="V326" s="54">
        <f>ROUND(Spotify!Q348*100,0)</f>
        <v>0</v>
      </c>
      <c r="W326" s="54">
        <f>Spotify!G348</f>
        <v>0</v>
      </c>
    </row>
    <row r="327" spans="1:23" ht="15" x14ac:dyDescent="0.3">
      <c r="A327" s="87">
        <f t="shared" ca="1" si="20"/>
        <v>0.97000415949230778</v>
      </c>
      <c r="B327" s="93" t="s">
        <v>1</v>
      </c>
      <c r="C327" s="94" t="s">
        <v>93</v>
      </c>
      <c r="D327" s="95" t="s">
        <v>487</v>
      </c>
      <c r="E327" s="94" t="s">
        <v>363</v>
      </c>
      <c r="F327" s="94"/>
      <c r="G327" s="96">
        <v>1970</v>
      </c>
      <c r="H327" s="94" t="s">
        <v>13</v>
      </c>
      <c r="I327" s="94"/>
      <c r="J327" s="88" t="s">
        <v>1514</v>
      </c>
      <c r="K327" s="90" t="str">
        <f>CONCATENATE(SUBSTITUTE(Spotify!J349,",",";"),";",J327)</f>
        <v>;slow;love;oldies;retro</v>
      </c>
      <c r="L327" s="86"/>
      <c r="M327" s="54">
        <f>Spotify!B349</f>
        <v>0</v>
      </c>
      <c r="N327" s="92">
        <f>Spotify!D349</f>
        <v>0</v>
      </c>
      <c r="O327" s="92">
        <f>Spotify!E349</f>
        <v>0</v>
      </c>
      <c r="P327" s="54">
        <f>ROUND(Spotify!U349,0)</f>
        <v>0</v>
      </c>
      <c r="Q327" s="54">
        <f>ROUND(Spotify!L349*100,0)</f>
        <v>0</v>
      </c>
      <c r="R327" s="54">
        <f>ROUND(Spotify!K349*100,0)</f>
        <v>0</v>
      </c>
      <c r="S327" s="54">
        <f>Spotify!N349</f>
        <v>0</v>
      </c>
      <c r="T327" s="54">
        <f>ROUND(Spotify!T349*100,0)</f>
        <v>0</v>
      </c>
      <c r="U327" s="54">
        <f>ROUND(Spotify!F349/60000,1)</f>
        <v>0</v>
      </c>
      <c r="V327" s="54">
        <f>ROUND(Spotify!Q349*100,0)</f>
        <v>0</v>
      </c>
      <c r="W327" s="54">
        <f>Spotify!G349</f>
        <v>0</v>
      </c>
    </row>
    <row r="328" spans="1:23" ht="15" x14ac:dyDescent="0.3">
      <c r="A328" s="87">
        <f t="shared" ca="1" si="20"/>
        <v>0.29588300538150225</v>
      </c>
      <c r="B328" s="93"/>
      <c r="C328" s="94"/>
      <c r="D328" s="95" t="s">
        <v>483</v>
      </c>
      <c r="E328" s="94" t="s">
        <v>11</v>
      </c>
      <c r="F328" s="94"/>
      <c r="G328" s="96">
        <v>2005</v>
      </c>
      <c r="H328" s="94" t="s">
        <v>12</v>
      </c>
      <c r="I328" s="94" t="s">
        <v>13</v>
      </c>
      <c r="J328" s="88" t="s">
        <v>1408</v>
      </c>
      <c r="K328" s="90" t="str">
        <f>CONCATENATE(SUBSTITUTE(Spotify!J350,",",";"),";",J328)</f>
        <v>;love;slow;alternative</v>
      </c>
      <c r="L328" s="86"/>
      <c r="M328" s="54">
        <f>Spotify!B350</f>
        <v>0</v>
      </c>
      <c r="N328" s="92">
        <f>Spotify!D350</f>
        <v>0</v>
      </c>
      <c r="O328" s="92">
        <f>Spotify!E350</f>
        <v>0</v>
      </c>
      <c r="P328" s="54">
        <f>ROUND(Spotify!U350,0)</f>
        <v>0</v>
      </c>
      <c r="Q328" s="54">
        <f>ROUND(Spotify!L350*100,0)</f>
        <v>0</v>
      </c>
      <c r="R328" s="54">
        <f>ROUND(Spotify!K350*100,0)</f>
        <v>0</v>
      </c>
      <c r="S328" s="54">
        <f>Spotify!N350</f>
        <v>0</v>
      </c>
      <c r="T328" s="54">
        <f>ROUND(Spotify!T350*100,0)</f>
        <v>0</v>
      </c>
      <c r="U328" s="54">
        <f>ROUND(Spotify!F350/60000,1)</f>
        <v>0</v>
      </c>
      <c r="V328" s="54">
        <f>ROUND(Spotify!Q350*100,0)</f>
        <v>0</v>
      </c>
      <c r="W328" s="54">
        <f>Spotify!G350</f>
        <v>0</v>
      </c>
    </row>
    <row r="329" spans="1:23" ht="15" x14ac:dyDescent="0.3">
      <c r="A329" s="87">
        <f t="shared" ca="1" si="20"/>
        <v>0.52250481064969811</v>
      </c>
      <c r="B329" s="93"/>
      <c r="C329" s="94"/>
      <c r="D329" s="95" t="s">
        <v>484</v>
      </c>
      <c r="E329" s="94" t="s">
        <v>485</v>
      </c>
      <c r="F329" s="94"/>
      <c r="G329" s="96">
        <v>1997</v>
      </c>
      <c r="H329" s="94" t="s">
        <v>49</v>
      </c>
      <c r="I329" s="94"/>
      <c r="J329" s="88" t="s">
        <v>1515</v>
      </c>
      <c r="K329" s="90" t="str">
        <f>CONCATENATE(SUBSTITUTE(Spotify!J351,",",";"),";",J329)</f>
        <v>;dance;love;slow</v>
      </c>
      <c r="L329" s="86"/>
      <c r="M329" s="54">
        <f>Spotify!B351</f>
        <v>0</v>
      </c>
      <c r="N329" s="92">
        <f>Spotify!D351</f>
        <v>0</v>
      </c>
      <c r="O329" s="92">
        <f>Spotify!E351</f>
        <v>0</v>
      </c>
      <c r="P329" s="54">
        <f>ROUND(Spotify!U351,0)</f>
        <v>0</v>
      </c>
      <c r="Q329" s="54">
        <f>ROUND(Spotify!L351*100,0)</f>
        <v>0</v>
      </c>
      <c r="R329" s="54">
        <f>ROUND(Spotify!K351*100,0)</f>
        <v>0</v>
      </c>
      <c r="S329" s="54">
        <f>Spotify!N351</f>
        <v>0</v>
      </c>
      <c r="T329" s="54">
        <f>ROUND(Spotify!T351*100,0)</f>
        <v>0</v>
      </c>
      <c r="U329" s="54">
        <f>ROUND(Spotify!F351/60000,1)</f>
        <v>0</v>
      </c>
      <c r="V329" s="54">
        <f>ROUND(Spotify!Q351*100,0)</f>
        <v>0</v>
      </c>
      <c r="W329" s="54">
        <f>Spotify!G351</f>
        <v>0</v>
      </c>
    </row>
    <row r="330" spans="1:23" ht="15" x14ac:dyDescent="0.3">
      <c r="A330" s="87">
        <f t="shared" ca="1" si="20"/>
        <v>0.17514530476932366</v>
      </c>
      <c r="B330" s="93"/>
      <c r="C330" s="94" t="s">
        <v>46</v>
      </c>
      <c r="D330" s="95" t="s">
        <v>486</v>
      </c>
      <c r="E330" s="97" t="s">
        <v>90</v>
      </c>
      <c r="F330" s="94"/>
      <c r="G330" s="96">
        <v>1965</v>
      </c>
      <c r="H330" s="94" t="s">
        <v>13</v>
      </c>
      <c r="I330" s="94" t="s">
        <v>12</v>
      </c>
      <c r="J330" s="88" t="s">
        <v>1529</v>
      </c>
      <c r="K330" s="90" t="str">
        <f>CONCATENATE(SUBSTITUTE(Spotify!J352,",",";"),";",J330)</f>
        <v>;oldies;retro;love;groovy;dance;waltz</v>
      </c>
      <c r="L330" s="86"/>
      <c r="M330" s="54">
        <f>Spotify!B352</f>
        <v>0</v>
      </c>
      <c r="N330" s="92">
        <f>Spotify!D352</f>
        <v>0</v>
      </c>
      <c r="O330" s="92">
        <f>Spotify!E352</f>
        <v>0</v>
      </c>
      <c r="P330" s="54">
        <f>ROUND(Spotify!U352,0)</f>
        <v>0</v>
      </c>
      <c r="Q330" s="54">
        <f>ROUND(Spotify!L352*100,0)</f>
        <v>0</v>
      </c>
      <c r="R330" s="54">
        <f>ROUND(Spotify!K352*100,0)</f>
        <v>0</v>
      </c>
      <c r="S330" s="54">
        <f>Spotify!N352</f>
        <v>0</v>
      </c>
      <c r="T330" s="54">
        <f>ROUND(Spotify!T352*100,0)</f>
        <v>0</v>
      </c>
      <c r="U330" s="54">
        <f>ROUND(Spotify!F352/60000,1)</f>
        <v>0</v>
      </c>
      <c r="V330" s="54">
        <f>ROUND(Spotify!Q352*100,0)</f>
        <v>0</v>
      </c>
      <c r="W330" s="54">
        <f>Spotify!G352</f>
        <v>0</v>
      </c>
    </row>
    <row r="331" spans="1:23" ht="15" x14ac:dyDescent="0.3">
      <c r="A331" s="87">
        <f t="shared" ca="1" si="20"/>
        <v>0.31726886015222633</v>
      </c>
      <c r="B331" s="93"/>
      <c r="C331" s="94" t="s">
        <v>10</v>
      </c>
      <c r="D331" s="95" t="s">
        <v>488</v>
      </c>
      <c r="E331" s="94" t="s">
        <v>489</v>
      </c>
      <c r="F331" s="94"/>
      <c r="G331" s="96">
        <v>1994</v>
      </c>
      <c r="H331" s="94" t="s">
        <v>12</v>
      </c>
      <c r="I331" s="94" t="s">
        <v>29</v>
      </c>
      <c r="J331" s="88" t="s">
        <v>1510</v>
      </c>
      <c r="K331" s="90" t="str">
        <f>CONCATENATE(SUBSTITUTE(Spotify!J353,",",";"),";",J331)</f>
        <v>;slow;groovy;alternative</v>
      </c>
      <c r="L331" s="86"/>
      <c r="M331" s="54">
        <f>Spotify!B353</f>
        <v>0</v>
      </c>
      <c r="N331" s="92">
        <f>Spotify!D353</f>
        <v>0</v>
      </c>
      <c r="O331" s="92">
        <f>Spotify!E353</f>
        <v>0</v>
      </c>
      <c r="P331" s="54">
        <f>ROUND(Spotify!U353,0)</f>
        <v>0</v>
      </c>
      <c r="Q331" s="54">
        <f>ROUND(Spotify!L353*100,0)</f>
        <v>0</v>
      </c>
      <c r="R331" s="54">
        <f>ROUND(Spotify!K353*100,0)</f>
        <v>0</v>
      </c>
      <c r="S331" s="54">
        <f>Spotify!N353</f>
        <v>0</v>
      </c>
      <c r="T331" s="54">
        <f>ROUND(Spotify!T353*100,0)</f>
        <v>0</v>
      </c>
      <c r="U331" s="54">
        <f>ROUND(Spotify!F353/60000,1)</f>
        <v>0</v>
      </c>
      <c r="V331" s="54">
        <f>ROUND(Spotify!Q353*100,0)</f>
        <v>0</v>
      </c>
      <c r="W331" s="54">
        <f>Spotify!G353</f>
        <v>0</v>
      </c>
    </row>
  </sheetData>
  <sortState xmlns:xlrd2="http://schemas.microsoft.com/office/spreadsheetml/2017/richdata2" ref="A3:W331">
    <sortCondition ref="D266:D331"/>
  </sortState>
  <phoneticPr fontId="29" type="noConversion"/>
  <conditionalFormatting sqref="A3:K331">
    <cfRule type="expression" dxfId="1" priority="1" stopIfTrue="1">
      <formula>$B3="WIP"</formula>
    </cfRule>
  </conditionalFormatting>
  <hyperlinks>
    <hyperlink ref="D18" r:id="rId1" display="Contemporary\Smash Mouth\All Star.txt" xr:uid="{00000000-0004-0000-0100-000011000000}"/>
    <hyperlink ref="D19" r:id="rId2" display="Contemporary\Juice Newton\Angel of the Morning.txt" xr:uid="{00000000-0004-0000-0100-000013000000}"/>
    <hyperlink ref="D20" r:id="rId3" display="Contemporary\Robbie Williams\Angels.txt" xr:uid="{00000000-0004-0000-0100-000015000000}"/>
    <hyperlink ref="D21" r:id="rId4" display="Contemporary\John Denver\Annie's Song.txt" xr:uid="{00000000-0004-0000-0100-000017000000}"/>
    <hyperlink ref="D24" r:id="rId5" display="Contemporary\Michael Franks\Antonio's Song.txt" xr:uid="{00000000-0004-0000-0100-000019000000}"/>
    <hyperlink ref="D25" r:id="rId6" display="Contemporary\Beyonce\Ave Maria.txt" xr:uid="{00000000-0004-0000-0100-000022000000}"/>
    <hyperlink ref="D26" r:id="rId7" display="Contemporary\Britney Spears\Baby One More Time.txt" xr:uid="{00000000-0004-0000-0100-000024000000}"/>
    <hyperlink ref="D28" r:id="rId8" xr:uid="{00000000-0004-0000-0100-000025000000}"/>
    <hyperlink ref="D29" r:id="rId9" display="Contemporary\Andrea Bocelli\Besame Mucho.txt" xr:uid="{00000000-0004-0000-0100-000027000000}"/>
    <hyperlink ref="D30" r:id="rId10" display="Contemporary\Meghan Trainor\Better When I'm Dancing.txt" xr:uid="{00000000-0004-0000-0100-000029000000}"/>
    <hyperlink ref="D33" r:id="rId11" display="Contemporary\Various\Bistro Fada.txt" xr:uid="{00000000-0004-0000-0100-00002C000000}"/>
    <hyperlink ref="D36" r:id="rId12" display="Contemporary\The Beatles\Blackbird.txt" xr:uid="{00000000-0004-0000-0100-00002E000000}"/>
    <hyperlink ref="D39" r:id="rId13" xr:uid="{00000000-0004-0000-0100-000030000000}"/>
    <hyperlink ref="D40" r:id="rId14" display="Contemporary\Various\Brasileirinho.txt" xr:uid="{00000000-0004-0000-0100-000031000000}"/>
    <hyperlink ref="D41" r:id="rId15" display="Contemporary\Deep Blue Something\Breakfast At Tiffany's.txt" xr:uid="{00000000-0004-0000-0100-000032000000}"/>
    <hyperlink ref="D43" r:id="rId16" display="Contemporary\Van Morrison\Brown Eyed Girl.txt" xr:uid="{00000000-0004-0000-0100-000034000000}"/>
    <hyperlink ref="D44" r:id="rId17" display="Contemporary\George Ezra\Budapest.txt" xr:uid="{00000000-0004-0000-0100-000035000000}"/>
    <hyperlink ref="D45" r:id="rId18" display="Contemporary\Jason Mraz\Butterfly.txt" xr:uid="{00000000-0004-0000-0100-000036000000}"/>
    <hyperlink ref="D46" r:id="rId19" display="Contemporary\Everly Brothers\Bye Bye Love.txt" xr:uid="{00000000-0004-0000-0100-000038000000}"/>
    <hyperlink ref="D48" r:id="rId20" display="Contemporary\Red Hot Chili Peppers\Californication.txt" xr:uid="{00000000-0004-0000-0100-00003A000000}"/>
    <hyperlink ref="D50" r:id="rId21" xr:uid="{00000000-0004-0000-0100-00003B000000}"/>
    <hyperlink ref="D51" r:id="rId22" display="Contemporary\George Michael\Careless Whisper.txt" xr:uid="{00000000-0004-0000-0100-00003C000000}"/>
    <hyperlink ref="D52" r:id="rId23" display="Contemporary\James Blunt\Carry You Home.txt" xr:uid="{00000000-0004-0000-0100-00003E000000}"/>
    <hyperlink ref="D53" r:id="rId24" display="Contemporary\Matt Simons\Catch and Release.txt" xr:uid="{00000000-0004-0000-0100-000040000000}"/>
    <hyperlink ref="D54" r:id="rId25" display="Contemporary\Katy Perry\Chained To The Rhythm.txt" xr:uid="{00000000-0004-0000-0100-000042000000}"/>
    <hyperlink ref="D58" r:id="rId26" display="Contemporary\Semisonic\Closing Time.txt" xr:uid="{00000000-0004-0000-0100-000043000000}"/>
    <hyperlink ref="D59" r:id="rId27" display="Contemporary\Bryan Adams\Cloud Number Nine.txt" xr:uid="{00000000-0004-0000-0100-000045000000}"/>
    <hyperlink ref="D61" r:id="rId28" display="Contemporary\Bruno Mars\Count On Me.txt" xr:uid="{00000000-0004-0000-0100-000049000000}"/>
    <hyperlink ref="D63" r:id="rId29" display="Contemporary\John Denver\Country Roads.txt" xr:uid="{00000000-0004-0000-0100-00004A000000}"/>
    <hyperlink ref="D64" r:id="rId30" display="Contemporary\Gnarls Barkley\Crazy.txt" xr:uid="{00000000-0004-0000-0100-00004B000000}"/>
    <hyperlink ref="D65" r:id="rId31" display="Contemporary\Queen\Crazy Little Thing Called Love.txt" xr:uid="{00000000-0004-0000-0100-00004D000000}"/>
    <hyperlink ref="D66" r:id="rId32" display="Contemporary\Olly Murs\Dance With Me Tonight.txt" xr:uid="{00000000-0004-0000-0100-00004F000000}"/>
    <hyperlink ref="D67" r:id="rId33" xr:uid="{00000000-0004-0000-0100-000051000000}"/>
    <hyperlink ref="D68" r:id="rId34" display="Contemporary\ABBA\Dancing Queen.txt" xr:uid="{00000000-0004-0000-0100-000053000000}"/>
    <hyperlink ref="D69" r:id="rId35" display="Contemporary\John Mayer\Daughters.txt" xr:uid="{00000000-0004-0000-0100-000055000000}"/>
    <hyperlink ref="D71" r:id="rId36" display="Contemporary\The Avett Brothers\Die Die Die.txt" xr:uid="{00000000-0004-0000-0100-000058000000}"/>
    <hyperlink ref="D72" r:id="rId37" display="Contemporary\ABBA\Does Your Mother Know.txt" xr:uid="{00000000-0004-0000-0100-00005A000000}"/>
    <hyperlink ref="D73" r:id="rId38" display="Contemporary\Crystal Gayle\Don't It Make My Brown Eyes Blue.txt" xr:uid="{00000000-0004-0000-0100-00005E000000}"/>
    <hyperlink ref="D74" r:id="rId39" display="Contemporary\Norah Jones\Don't Know Why.txt" xr:uid="{00000000-0004-0000-0100-000060000000}"/>
    <hyperlink ref="D75" r:id="rId40" display="Contemporary\Oasis\Don't Look Back In Anger.txt" xr:uid="{00000000-0004-0000-0100-000064000000}"/>
    <hyperlink ref="D76" r:id="rId41" display="Contemporary\Queen\Don't Stop Me Now.txt" xr:uid="{00000000-0004-0000-0100-000065000000}"/>
    <hyperlink ref="D77" r:id="rId42" display="Contemporary\Nickel Creek\Doubting Thomas.txt" xr:uid="{00000000-0004-0000-0100-000067000000}"/>
    <hyperlink ref="D78" r:id="rId43" xr:uid="{00000000-0004-0000-0100-000069000000}"/>
    <hyperlink ref="D80" r:id="rId44" display="Contemporary\Incubus\Drive.txt" xr:uid="{00000000-0004-0000-0100-00006B000000}"/>
    <hyperlink ref="D81" r:id="rId45" display="Contemporary\Kansas\Dust in the Wind.txt" xr:uid="{00000000-0004-0000-0100-00006D000000}"/>
    <hyperlink ref="D82" r:id="rId46" display="Contemporary\The Penguins\Earth Angel.txt" xr:uid="{00000000-0004-0000-0100-00006F000000}"/>
    <hyperlink ref="D83" r:id="rId47" display="Contemporary\The Beatles\Eight Days A Week.txt" xr:uid="{00000000-0004-0000-0100-000071000000}"/>
    <hyperlink ref="D84" r:id="rId48" display="Contemporary\Rupert Holmes\Escape.txt" xr:uid="{00000000-0004-0000-0100-000075000000}"/>
    <hyperlink ref="D86" r:id="rId49" display="Contemporary\Eric Hutchinson\Every Little Thing She Does Is Magic.txt" xr:uid="{00000000-0004-0000-0100-000077000000}"/>
    <hyperlink ref="D88" r:id="rId50" display="Contemporary\Bread\Everything I Own.txt" xr:uid="{00000000-0004-0000-0100-00007B000000}"/>
    <hyperlink ref="D91" r:id="rId51" display="Contemporary\George Michael\Faith.txt" xr:uid="{00000000-0004-0000-0100-00007D000000}"/>
    <hyperlink ref="D92" r:id="rId52" display="Contemporary\Various\Fare Thee Well.txt" xr:uid="{00000000-0004-0000-0100-00007F000000}"/>
    <hyperlink ref="D95" r:id="rId53" display="Contemporary\Bright Eyes\First Day Of My Life.txt" xr:uid="{00000000-0004-0000-0100-000087000000}"/>
    <hyperlink ref="D96" r:id="rId54" display="Contemporary\Peter, Paul, and Mary\Five Hundred Miles.txt" xr:uid="{00000000-0004-0000-0100-000089000000}"/>
    <hyperlink ref="D97" r:id="rId55" display="Contemporary\Coldplay\Fix You.txt" xr:uid="{00000000-0004-0000-0100-00008A000000}"/>
    <hyperlink ref="D99" r:id="rId56" display="Contemporary\Frank Sinatra\Fly Me To The Moon.txt" xr:uid="{00000000-0004-0000-0100-00008E000000}"/>
    <hyperlink ref="D102" r:id="rId57" display="Contemporary\Eric Hutchinson\Forever.txt" xr:uid="{00000000-0004-0000-0100-000090000000}"/>
    <hyperlink ref="D103" r:id="rId58" display="Contemporary\John Mayer\Free Falling.txt" xr:uid="{00000000-0004-0000-0100-000092000000}"/>
    <hyperlink ref="D105" r:id="rId59" display="Contemporary\Christina Aguilera\Genie In A Bottle.txt" xr:uid="{00000000-0004-0000-0100-000093000000}"/>
    <hyperlink ref="D150" r:id="rId60" xr:uid="{00000000-0004-0000-0100-000094000000}"/>
    <hyperlink ref="D109" r:id="rId61" display="Contemporary\Maroon 5\Give A Little More.txt" xr:uid="{00000000-0004-0000-0100-000095000000}"/>
    <hyperlink ref="D111" r:id="rId62" display="Contemporary\Eric Hutchinson\Goodnight Goodbye.txt" xr:uid="{00000000-0004-0000-0100-000097000000}"/>
    <hyperlink ref="D112" r:id="rId63" display="Contemporary\Frank Sinatra\Got You Under My Skin.txt" xr:uid="{00000000-0004-0000-0100-000099000000}"/>
    <hyperlink ref="D113" r:id="rId64" display="Contemporary\Skye Zentz\Grayscale.txt" xr:uid="{00000000-0004-0000-0100-00009B000000}"/>
    <hyperlink ref="D116" r:id="rId65" display="Contemporary\Bread\The Guitar Man.txt" xr:uid="{00000000-0004-0000-0100-00009F000000}"/>
    <hyperlink ref="D117" r:id="rId66" display="Contemporary\Jeff Buckley\Hallelujah.txt" xr:uid="{00000000-0004-0000-0100-0000A1000000}"/>
    <hyperlink ref="D119" r:id="rId67" display="Contemporary\Pharell Williams\Happy.txt" xr:uid="{00000000-0004-0000-0100-0000A3000000}"/>
    <hyperlink ref="D122" r:id="rId68" display="Contemporary\CCR\Have You Ever Seen The Rain.txt" xr:uid="{00000000-0004-0000-0100-0000A5000000}"/>
    <hyperlink ref="D123" r:id="rId69" display="Contemporary\Neil Young\Heart Of Gold.txt" xr:uid="{00000000-0004-0000-0100-0000A7000000}"/>
    <hyperlink ref="D125" r:id="rId70" display="Contemporary\Lionel Richie\Hello.txt" xr:uid="{00000000-0004-0000-0100-0000A8000000}"/>
    <hyperlink ref="D127" r:id="rId71" display="Contemporary\3 Doors Down\Here Without You.txt" xr:uid="{00000000-0004-0000-0100-0000A9000000}"/>
    <hyperlink ref="D129" r:id="rId72" display="Contemporary\The Beatles\Hey Jude.txt" xr:uid="{00000000-0004-0000-0100-0000AB000000}"/>
    <hyperlink ref="D131" r:id="rId73" display="Contemporary\Plain White T's\Hey There Delilah.txt" xr:uid="{00000000-0004-0000-0100-0000AD000000}"/>
    <hyperlink ref="D130" r:id="rId74" xr:uid="{00000000-0004-0000-0100-0000AF000000}"/>
    <hyperlink ref="D227" r:id="rId75" xr:uid="{00000000-0004-0000-0100-0000B1000000}"/>
    <hyperlink ref="D136" r:id="rId76" display="Contemporary\The Beatles\I Saw Her Standing There.txt" xr:uid="{00000000-0004-0000-0100-0000B5000000}"/>
    <hyperlink ref="D138" r:id="rId77" display="Contemporary\Death Cab for Cutie\I Will Follow You Into The Dark.txt" xr:uid="{00000000-0004-0000-0100-0000B6000000}"/>
    <hyperlink ref="D139" r:id="rId78" xr:uid="{00000000-0004-0000-0100-0000B8000000}"/>
    <hyperlink ref="D144" r:id="rId79" xr:uid="{00000000-0004-0000-0100-0000BB000000}"/>
    <hyperlink ref="D152" r:id="rId80" xr:uid="{00000000-0004-0000-0100-0000BF000000}"/>
    <hyperlink ref="D141" r:id="rId81" display="Contemporary\Bread\If.txt" xr:uid="{00000000-0004-0000-0100-0000C1000000}"/>
    <hyperlink ref="D143" r:id="rId82" display="Contemporary\Peter, Paul, and Mary\If I Had A Hammer.txt" xr:uid="{00000000-0004-0000-0100-0000C3000000}"/>
    <hyperlink ref="D154" r:id="rId83" display="Contemporary\Christina Perri\Jar Of Hearts.txt" xr:uid="{00000000-0004-0000-0100-0000C7000000}"/>
    <hyperlink ref="D156" r:id="rId84" display="Contemporary\Dolly Parton\Jolene.txt" xr:uid="{00000000-0004-0000-0100-0000C8000000}"/>
    <hyperlink ref="D157" r:id="rId85" display="Contemporary\P!nk\Just Give Me A Reason.txt" xr:uid="{00000000-0004-0000-0100-0000CA000000}"/>
    <hyperlink ref="D159" r:id="rId86" display="Contemporary\Bill Withers\Just The Two Of Us.txt" xr:uid="{00000000-0004-0000-0100-0000CC000000}"/>
    <hyperlink ref="D161" r:id="rId87" display="Contemporary\Lori Lieberman\Killing Me Softly.txt" xr:uid="{00000000-0004-0000-0100-0000CE000000}"/>
    <hyperlink ref="D162" r:id="rId88" display="Contemporary\Sixpence None The Richer\Kiss Me.txt" xr:uid="{00000000-0004-0000-0100-0000D0000000}"/>
    <hyperlink ref="D164" r:id="rId89" display="Contemporary\Louis Armstrong\La Vie En Rose.txt" xr:uid="{00000000-0004-0000-0100-0000D2000000}"/>
    <hyperlink ref="D165" r:id="rId90" display="Contemporary\John Denver\Leaving On A Jet Plane.txt" xr:uid="{00000000-0004-0000-0100-0000D6000000}"/>
    <hyperlink ref="D166" r:id="rId91" display="Contemporary\Fool's Garden\Lemon Tree.txt" xr:uid="{00000000-0004-0000-0100-0000D8000000}"/>
    <hyperlink ref="D167" r:id="rId92" display="Contemporary\Passenger\Let Her Go.txt" xr:uid="{00000000-0004-0000-0100-0000DA000000}"/>
    <hyperlink ref="D169" r:id="rId93" display="Contemporary\Meghan Trainor\Like I'm Gonna Lose You.txt" xr:uid="{00000000-0004-0000-0100-0000DF000000}"/>
    <hyperlink ref="D170" r:id="rId94" display="Contemporary\Eric Clapton\Lonely Stranger.txt" xr:uid="{00000000-0004-0000-0100-0000E1000000}"/>
    <hyperlink ref="D171" r:id="rId95" display="Contemporary\Kurt Hunter\Long Goodbyes.txt" xr:uid="{00000000-0004-0000-0100-0000E3000000}"/>
    <hyperlink ref="D172" r:id="rId96" display="Contemporary\Doobie Brothers\Long Train Running.txt" xr:uid="{00000000-0004-0000-0100-0000E5000000}"/>
    <hyperlink ref="D173" r:id="rId97" display="Contemporary\REM\Losing My Religion.txt" xr:uid="{00000000-0004-0000-0100-0000E7000000}"/>
    <hyperlink ref="D177" r:id="rId98" display="Contemporary\Justin Bieber\Love Yourself.txt" xr:uid="{00000000-0004-0000-0100-0000E9000000}"/>
    <hyperlink ref="D178" r:id="rId99" display="Contemporary\Jason Mraz\Lucky.txt" xr:uid="{00000000-0004-0000-0100-0000EA000000}"/>
    <hyperlink ref="D179" r:id="rId100" display="Contemporary\Cliff Richard\Lucky Lips.txt" xr:uid="{00000000-0004-0000-0100-0000EC000000}"/>
    <hyperlink ref="D180" r:id="rId101" display="Contemporary\Adele\Make You Feel My Love.txt" xr:uid="{00000000-0004-0000-0100-0000EF000000}"/>
    <hyperlink ref="D181" r:id="rId102" display="Contemporary\ABBA\Mamma Mia.txt" xr:uid="{00000000-0004-0000-0100-0000F1000000}"/>
    <hyperlink ref="D183" r:id="rId103" display="Contemporary\Tom Petty and The Heartbreakers\Mary Jane's Last Dance.txt" xr:uid="{00000000-0004-0000-0100-0000F4000000}"/>
    <hyperlink ref="D184" r:id="rId104" display="Contemporary\Geri Halliwell\Mi Chico Latino.txt" xr:uid="{00000000-0004-0000-0100-0000F6000000}"/>
    <hyperlink ref="D185" r:id="rId105" display="Contemporary\The Beatles\Michelle.txt" xr:uid="{00000000-0004-0000-0100-0000F8000000}"/>
    <hyperlink ref="D187" r:id="rId106" display="Contemporary\Various\Moon River.txt" xr:uid="{00000000-0004-0000-0100-0000FA000000}"/>
    <hyperlink ref="D188" r:id="rId107" display="Contemporary\Michael Learns To Rock\More Than A Friend.txt" xr:uid="{00000000-0004-0000-0100-0000FC000000}"/>
    <hyperlink ref="D189" r:id="rId108" display="Contemporary\Extreme\More Than Words.txt" xr:uid="{00000000-0004-0000-0100-0000FE000000}"/>
    <hyperlink ref="D191" r:id="rId109" display="Contemporary\Electric Light Orchestra\Mr Blue Sky.txt" xr:uid="{00000000-0004-0000-0100-000000010000}"/>
    <hyperlink ref="D193" r:id="rId110" display="Contemporary\Westlife\My Love.txt" xr:uid="{00000000-0004-0000-0100-000002010000}"/>
    <hyperlink ref="D197" r:id="rId111" xr:uid="{00000000-0004-0000-0100-000004010000}"/>
    <hyperlink ref="D198" r:id="rId112" display="Contemporary\The Beatles\Norwegian Wood.txt" xr:uid="{00000000-0004-0000-0100-000005010000}"/>
    <hyperlink ref="D199" r:id="rId113" display="Contemporary\Linkin Park\Numb.txt" xr:uid="{00000000-0004-0000-0100-000007010000}"/>
    <hyperlink ref="D203" r:id="rId114" display="Contemporary\Mikey McCleary\Open Book.txt" xr:uid="{00000000-0004-0000-0100-00000C010000}"/>
    <hyperlink ref="D204" r:id="rId115" display="Contemporary\Anita Bryant\Paper Roses.txt" xr:uid="{00000000-0004-0000-0100-00000E010000}"/>
    <hyperlink ref="D205" r:id="rId116" display="Contemporary\Coldplay\Paradise.txt" xr:uid="{00000000-0004-0000-0100-00000F010000}"/>
    <hyperlink ref="D206" r:id="rId117" xr:uid="{00000000-0004-0000-0100-000011010000}"/>
    <hyperlink ref="D208" r:id="rId118" xr:uid="{00000000-0004-0000-0100-000014010000}"/>
    <hyperlink ref="D209" r:id="rId119" display="Contemporary\Billy Joel\Piano Man.txt" xr:uid="{00000000-0004-0000-0100-000016010000}"/>
    <hyperlink ref="D218" r:id="rId120" xr:uid="{00000000-0004-0000-0100-00001F010000}"/>
    <hyperlink ref="D219" r:id="rId121" display="Contemporary\Johnny Cash\Ring Of Fire.txt" xr:uid="{00000000-0004-0000-0100-000021010000}"/>
    <hyperlink ref="D220" r:id="rId122" display="Contemporary\Eric Hutchinson\Rock 'n' Roll.txt" xr:uid="{00000000-0004-0000-0100-000022010000}"/>
    <hyperlink ref="D221" r:id="rId123" display="Contemporary\Elton John\Rocket Man.txt" xr:uid="{00000000-0004-0000-0100-000026010000}"/>
    <hyperlink ref="D225" r:id="rId124" xr:uid="{00000000-0004-0000-0100-000028010000}"/>
    <hyperlink ref="D228" r:id="rId125" display="Contemporary\The White Stripes\Seven Nation Army.txt" xr:uid="{00000000-0004-0000-0100-000029010000}"/>
    <hyperlink ref="D231" r:id="rId126" display="Contemporary\Maroon 5\She Will Be Loved.txt" xr:uid="{00000000-0004-0000-0100-00002C010000}"/>
    <hyperlink ref="D234" r:id="rId127" display="Contemporary\Adele\Skyfall.txt" xr:uid="{00000000-0004-0000-0100-00002F010000}"/>
    <hyperlink ref="D238" r:id="rId128" xr:uid="{00000000-0004-0000-0100-000032010000}"/>
    <hyperlink ref="D240" r:id="rId129" display="Contemporary\Adele\Someone Like You.txt" xr:uid="{00000000-0004-0000-0100-000033010000}"/>
    <hyperlink ref="D244" r:id="rId130" display="Contemporary\Nickel Creek\Spit On A Stranger.txt" xr:uid="{00000000-0004-0000-0100-000037010000}"/>
    <hyperlink ref="D245" r:id="rId131" display="Contemporary\Ben E King\Stand By Me.txt" xr:uid="{00000000-0004-0000-0100-00003A010000}"/>
    <hyperlink ref="D246" r:id="rId132" display="Contemporary\Shaggy\Strength Of A Woman.txt" xr:uid="{00000000-0004-0000-0100-00003B010000}"/>
    <hyperlink ref="D247" r:id="rId133" display="Contemporary\Stealers Wheel\Stuck In The Middle With You.txt" xr:uid="{00000000-0004-0000-0100-00003D010000}"/>
    <hyperlink ref="D250" r:id="rId134" xr:uid="{00000000-0004-0000-0100-00003F010000}"/>
    <hyperlink ref="D251" r:id="rId135" display="Contemporary\Dire Straits\Sultans Of Swing.txt" xr:uid="{00000000-0004-0000-0100-000041010000}"/>
    <hyperlink ref="D254" r:id="rId136" display="Contemporary\Lazlo Bane\Superman.txt" xr:uid="{00000000-0004-0000-0100-000042010000}"/>
    <hyperlink ref="D255" r:id="rId137" xr:uid="{00000000-0004-0000-0100-000044010000}"/>
    <hyperlink ref="D256" r:id="rId138" display="Contemporary\Various\Sway.txt" xr:uid="{00000000-0004-0000-0100-000046010000}"/>
    <hyperlink ref="D257" r:id="rId139" display="Contemporary\Guns n Roses\Sweet Child Of Mine.txt" xr:uid="{00000000-0004-0000-0100-000047010000}"/>
    <hyperlink ref="D261" r:id="rId140" display="Contemporary\Dave Brubeck\Take Five.txt" xr:uid="{00000000-0004-0000-0100-000048010000}"/>
    <hyperlink ref="D262" r:id="rId141" display="Contemporary\Hozier\Take Me To Church.txt" xr:uid="{00000000-0004-0000-0100-000049010000}"/>
    <hyperlink ref="D263" r:id="rId142" display="Contemporary\Eric Clapton\Tears in Heaven.txt" xr:uid="{00000000-0004-0000-0100-00004B010000}"/>
    <hyperlink ref="D264" r:id="rId143" display="Contemporary\Engelbert Humperdinck\Ten Guitars.txt" xr:uid="{00000000-0004-0000-0100-00004D010000}"/>
    <hyperlink ref="D266" r:id="rId144" display="Contemporary\Savage Garden\The Animal Song.txt" xr:uid="{00000000-0004-0000-0100-00004E010000}"/>
    <hyperlink ref="D267" r:id="rId145" display="Contemporary\Simon and Garfunkel\The Boxer.txt" xr:uid="{00000000-0004-0000-0100-000050010000}"/>
    <hyperlink ref="D268" r:id="rId146" display="Contemporary\Mumford And Sons\The Cave.txt" xr:uid="{00000000-0004-0000-0100-000052010000}"/>
    <hyperlink ref="D270" r:id="rId147" display="Contemporary\The Steve Miller Band\The Joker.txt" xr:uid="{00000000-0004-0000-0100-000056010000}"/>
    <hyperlink ref="D271" r:id="rId148" display="Contemporary\Bruno Mars\The Lazy Song.txt" xr:uid="{00000000-0004-0000-0100-000058010000}"/>
    <hyperlink ref="D272" r:id="rId149" display="Contemporary\Hoobastank\The Reason.txt" xr:uid="{00000000-0004-0000-0100-00005A010000}"/>
    <hyperlink ref="D273" r:id="rId150" display="Contemporary\Coldplay\The Scientist.txt" xr:uid="{00000000-0004-0000-0100-00005B010000}"/>
    <hyperlink ref="D275" r:id="rId151" xr:uid="{00000000-0004-0000-0100-00005D010000}"/>
    <hyperlink ref="D278" r:id="rId152" display="Contemporary\Bob Dylan\The Times They Are A-Changin'.txt" xr:uid="{00000000-0004-0000-0100-000061010000}"/>
    <hyperlink ref="D280" r:id="rId153" display="Contemporary\Ingrid Michaelson\The Way I Am.txt" xr:uid="{00000000-0004-0000-0100-000063010000}"/>
    <hyperlink ref="D281" r:id="rId154" display="Contemporary\Frank Sinatra\The Way You Look Tonight.txt" xr:uid="{00000000-0004-0000-0100-000065010000}"/>
    <hyperlink ref="D282" r:id="rId155" display="Contemporary\Michael Jackson\The Way You Make Me Feel.txt" xr:uid="{00000000-0004-0000-0100-000067010000}"/>
    <hyperlink ref="D284" r:id="rId156" display="Contemporary\Sixpence None The Richer\There She Goes.txt" xr:uid="{00000000-0004-0000-0100-000069010000}"/>
    <hyperlink ref="D285" r:id="rId157" display="Contemporary\Ed Sheeran\Thinking Out Loud.txt" xr:uid="{00000000-0004-0000-0100-00006B010000}"/>
    <hyperlink ref="D290" r:id="rId158" display="Contemporary\Eva Cassidy\Time After Time.txt" xr:uid="{00000000-0004-0000-0100-00006F010000}"/>
    <hyperlink ref="D291" r:id="rId159" display="Contemporary\Jim Croce\Time In A Bottle.txt" xr:uid="{00000000-0004-0000-0100-000071010000}"/>
    <hyperlink ref="D292" r:id="rId160" display="Contemporary\David Guetta\Titanium.txt" xr:uid="{00000000-0004-0000-0100-000073010000}"/>
    <hyperlink ref="D293" r:id="rId161" display="Contemporary\Mr Big\To Be With You.txt" xr:uid="{00000000-0004-0000-0100-000074010000}"/>
    <hyperlink ref="D297" r:id="rId162" display="Contemporary\Rihanna\Umbrella.txt" xr:uid="{00000000-0004-0000-0100-000078010000}"/>
    <hyperlink ref="D299" r:id="rId163" display="Contemporary\Various\Under The Sea.txt" xr:uid="{00000000-0004-0000-0100-000079010000}"/>
    <hyperlink ref="D300" r:id="rId164" display="Contemporary\Sting\Until.txt" xr:uid="{00000000-0004-0000-0100-00007A010000}"/>
    <hyperlink ref="D302" r:id="rId165" display="Contemporary\Billy Joel\Uptown Girl.txt" xr:uid="{00000000-0004-0000-0100-00007E010000}"/>
    <hyperlink ref="D304" r:id="rId166" display="Contemporary\Owl City\Vanilla Twilight.txt" xr:uid="{00000000-0004-0000-0100-000080010000}"/>
    <hyperlink ref="D305" r:id="rId167" display="Contemporary\Shocking Blue\Venus.txt" xr:uid="{00000000-0004-0000-0100-000082010000}"/>
    <hyperlink ref="D306" r:id="rId168" display="Contemporary\Coldplay\Viva La Vida.txt" xr:uid="{00000000-0004-0000-0100-000084010000}"/>
    <hyperlink ref="D307" r:id="rId169" display="Contemporary\Avicii\Wake Me Up.txt" xr:uid="{00000000-0004-0000-0100-000086010000}"/>
    <hyperlink ref="D308" r:id="rId170" display="Contemporary\Green Day\Wake Me Up When September Ends.txt" xr:uid="{00000000-0004-0000-0100-000087010000}"/>
    <hyperlink ref="D310" r:id="rId171" display="Contemporary\Louis Armstrong\What A Wonderful World.txt" xr:uid="{00000000-0004-0000-0100-00008C010000}"/>
    <hyperlink ref="D311" r:id="rId172" display="Contemporary\4 Non Blondes\What's Up.txt" xr:uid="{00000000-0004-0000-0100-00008E010000}"/>
    <hyperlink ref="D313" r:id="rId173" display="Contemporary\The Killers\When You Were Young.txt" xr:uid="{00000000-0004-0000-0100-000090010000}"/>
    <hyperlink ref="D316" r:id="rId174" display="Contemporary\Chris Isaak\Wicked Game.txt" xr:uid="{00000000-0004-0000-0100-000094010000}"/>
    <hyperlink ref="D317" r:id="rId175" display="Contemporary\Cat Stevens\Wild World.txt" xr:uid="{00000000-0004-0000-0100-000096010000}"/>
    <hyperlink ref="D318" r:id="rId176" display="Contemporary\James Blunt\Wisemen.txt" xr:uid="{00000000-0004-0000-0100-000098010000}"/>
    <hyperlink ref="D319" r:id="rId177" display="Contemporary\Pink Floyd\Wish You Were Here.txt" xr:uid="{00000000-0004-0000-0100-00009A010000}"/>
    <hyperlink ref="D321" r:id="rId178" display="Contemporary\Eric Clapton\Wonderful Tonight.txt" xr:uid="{00000000-0004-0000-0100-00009C010000}"/>
    <hyperlink ref="D322" r:id="rId179" display="Contemporary\Oasis\Wonderwall.txt" xr:uid="{00000000-0004-0000-0100-00009E010000}"/>
    <hyperlink ref="D323" r:id="rId180" display="Contemporary\Coldplay\Yellow.txt" xr:uid="{00000000-0004-0000-0100-0000A0010000}"/>
    <hyperlink ref="D324" r:id="rId181" display="Contemporary\The Beatles\Yesterday.txt" xr:uid="{00000000-0004-0000-0100-0000A2010000}"/>
    <hyperlink ref="D325" r:id="rId182" xr:uid="{00000000-0004-0000-0100-0000A4010000}"/>
    <hyperlink ref="D326" r:id="rId183" display="Contemporary\Bryan Adams\You Belong To Me.txt" xr:uid="{00000000-0004-0000-0100-0000A6010000}"/>
    <hyperlink ref="D328" r:id="rId184" display="Contemporary\James Blunt\You're Beautiful.txt" xr:uid="{00000000-0004-0000-0100-0000A8010000}"/>
    <hyperlink ref="D329" r:id="rId185" display="Contemporary\Shania Twain\You're Still The One.txt" xr:uid="{00000000-0004-0000-0100-0000AA010000}"/>
    <hyperlink ref="D330" r:id="rId186" display="Contemporary\The Beatles\You've Got To Hide Your Love Away.txt" xr:uid="{00000000-0004-0000-0100-0000AC010000}"/>
    <hyperlink ref="D327" r:id="rId187" display="Contemporary\Elton John\Your Song.txt" xr:uid="{00000000-0004-0000-0100-0000AD010000}"/>
    <hyperlink ref="D331" r:id="rId188" display="Contemporary\The Cranberries\Zombie.txt" xr:uid="{00000000-0004-0000-0100-0000AF010000}"/>
    <hyperlink ref="D269" r:id="rId189" display="Contemporary\Various\The Girl From Ipanema.txt" xr:uid="{00000000-0004-0000-0100-0000B0010000}"/>
    <hyperlink ref="D137" r:id="rId190" display="Contemporary\The Beatles\I Wanna Hold Your Hand.txt" xr:uid="{00000000-0004-0000-0100-0000B4010000}"/>
    <hyperlink ref="D294" r:id="rId191" display="Contemporary\The Carpenters\Top Of The World.txt" xr:uid="{00000000-0004-0000-0100-0000B5010000}"/>
    <hyperlink ref="D298" r:id="rId192" display="Contemporary\Red Hot Chili Peppers\Under The Bridge.txt" xr:uid="{00000000-0004-0000-0100-0000B6010000}"/>
    <hyperlink ref="D309" r:id="rId193" display="Way Back Into Love" xr:uid="{8B68DDC8-1E77-4B3E-9EBD-9786354441FB}"/>
    <hyperlink ref="D37" r:id="rId194" display="Contemporary\The Weeknd\Blinding Lights.txt" xr:uid="{EEBA977E-F46F-4714-A518-B08BE488E457}"/>
    <hyperlink ref="D93" r:id="rId195" display="Contemporary\Edwina Hayes\Feels Like Home.txt" xr:uid="{B6052E90-EC1E-4BF5-9379-6DBDFA754632}"/>
    <hyperlink ref="D192" r:id="rId196" display="Contemporary\The Killers\Mr Brightside.txt" xr:uid="{5802432F-E527-4D6C-84E6-56A91A55E0C6}"/>
    <hyperlink ref="D70" r:id="rId197" xr:uid="{16E20AF1-31EC-470A-A12E-5035428B9B44}"/>
    <hyperlink ref="D200" r:id="rId198" xr:uid="{C8E4B5D5-5247-448B-BD70-8E2DD155C93A}"/>
    <hyperlink ref="D296" r:id="rId199" xr:uid="{520CDE19-D34C-4969-B657-00EEA2EB949D}"/>
    <hyperlink ref="D196" r:id="rId200" xr:uid="{2AEF2877-8478-4363-A2D8-F9BC46128004}"/>
    <hyperlink ref="D110" r:id="rId201" xr:uid="{DEA56E15-7E8F-4686-9448-35365ABA939C}"/>
    <hyperlink ref="D214" r:id="rId202" display="Contemporary\Engelbert Humperdinck\Quando Quando Quando.txt" xr:uid="{00000000-0004-0000-0100-00001D010000}"/>
    <hyperlink ref="D213" r:id="rId203" display="Contemporary\Jessie J\Price Tag.txt" xr:uid="{00000000-0004-0000-0100-00001C010000}"/>
    <hyperlink ref="D212" r:id="rId204" display="Contemporary\Sergio Mendes\Pretty World.txt" xr:uid="{DC0FBA95-9759-46CF-AA4F-DE6BF4585E13}"/>
    <hyperlink ref="D210" r:id="rId205" display="Contemporary\Johnny Tillotson\Poetry In Motion.txt" xr:uid="{00000000-0004-0000-0100-00001A010000}"/>
    <hyperlink ref="D174" r:id="rId206" xr:uid="{E24249CE-CF9E-4A99-9626-9EE19BC80405}"/>
    <hyperlink ref="D215" r:id="rId207" display="Contemporary\Various\Que Sera Sera.txt" xr:uid="{00000000-0004-0000-0100-00001E010000}"/>
    <hyperlink ref="D17" r:id="rId208" display="Contemporary\Everly Brothers\All I Have To Do Is Dream.txt" xr:uid="{00000000-0004-0000-0100-00000D000000}"/>
    <hyperlink ref="D16" r:id="rId209" display="Contemporary\McFly\All About You.txt" xr:uid="{00000000-0004-0000-0100-00000B000000}"/>
    <hyperlink ref="D15" r:id="rId210" xr:uid="{70D074EE-FA01-46F9-B642-8E8D8E64F8BD}"/>
    <hyperlink ref="D12" r:id="rId211" display="Contemporary\Toto\Africa.txt" xr:uid="{00000000-0004-0000-0100-000009000000}"/>
    <hyperlink ref="D11" r:id="rId212" display="Contemporary\Coldplay\Adventure Of A Lifetime.txt" xr:uid="{00000000-0004-0000-0100-000007000000}"/>
    <hyperlink ref="D10" r:id="rId213" display="Contemporary\Christina Perri\A Thousand Years.txt" xr:uid="{00000000-0004-0000-0100-000005000000}"/>
    <hyperlink ref="D9" r:id="rId214" display="Contemporary\Vanessa Carlton\A Thousand Miles.txt" xr:uid="{00000000-0004-0000-0100-000003000000}"/>
    <hyperlink ref="D7" r:id="rId215" display="Contemporary\Robbie Williams\A Man For All Seasons.txt" xr:uid="{00000000-0004-0000-0100-000002000000}"/>
    <hyperlink ref="D6" r:id="rId216" display="Contemporary\Eric Hutchinson\A Little More.txt" xr:uid="{00000000-0004-0000-0100-000000000000}"/>
    <hyperlink ref="D132" r:id="rId217" display="Contemporary\The Eagles\Hotel California.txt" xr:uid="{7A631C53-9327-4C79-A842-D127F225B96B}"/>
    <hyperlink ref="D194" r:id="rId218" xr:uid="{1F766707-E729-4F21-8AA9-F98C600EA5D0}"/>
    <hyperlink ref="D147" r:id="rId219" display="Contemporary\Jason Mraz\I'm Yours.txt" xr:uid="{28F11550-0E28-42BB-979E-B3C5573780E3}"/>
    <hyperlink ref="D55" r:id="rId220" xr:uid="{2510C908-BCD1-4329-8A31-65F549E1B926}"/>
    <hyperlink ref="D57" r:id="rId221" xr:uid="{AEA099BB-3602-4719-89D5-52BF3B22EDD5}"/>
    <hyperlink ref="D13" r:id="rId222" xr:uid="{5AA0F8B7-02C9-43AB-A2C6-7920F97FC1F4}"/>
    <hyperlink ref="D287" r:id="rId223" display="Contemporary\Maroon 5\This Love.txt" xr:uid="{090A7E2F-DBB1-4C84-86D2-96F177C2FD56}"/>
    <hyperlink ref="D38" r:id="rId224" xr:uid="{B07AD9B3-706B-449A-899E-6178C2338009}"/>
    <hyperlink ref="D258" r:id="rId225" xr:uid="{B229E32B-AEDC-4F78-BF4B-B958F7E65674}"/>
    <hyperlink ref="D115" r:id="rId226" xr:uid="{317773B0-1499-43C5-BAB4-3DB709D7219D}"/>
    <hyperlink ref="D145" r:id="rId227" display="I'll Have to Say I Love You in a Song" xr:uid="{446E986D-D706-4D08-8C1F-98D0C911D486}"/>
    <hyperlink ref="D230" r:id="rId228" xr:uid="{34A5AC3F-19BA-42F2-B7DD-6A8BEFC86CCB}"/>
    <hyperlink ref="D233" r:id="rId229" xr:uid="{1E544635-3481-4F81-A199-858D40979869}"/>
    <hyperlink ref="D56" r:id="rId230" xr:uid="{C42238E8-676F-4B55-B841-F0F78A8F1D2E}"/>
    <hyperlink ref="D107" r:id="rId231" xr:uid="{930BDF19-7758-42DD-ABCC-32386184B784}"/>
    <hyperlink ref="D135" r:id="rId232" xr:uid="{4F86E7A3-56E2-42BC-A7C3-7D4E5FE74926}"/>
    <hyperlink ref="D186" r:id="rId233" xr:uid="{FDDF6165-732F-4D21-9885-6E7F2EF36A54}"/>
    <hyperlink ref="D243" r:id="rId234" xr:uid="{34B3CC19-5354-4113-B852-28B8808F0904}"/>
    <hyperlink ref="D253" r:id="rId235" xr:uid="{E2DF3198-38A4-4A47-BCED-EA488172C629}"/>
    <hyperlink ref="D260" r:id="rId236" xr:uid="{2DC93BC0-7807-4BEF-A2CF-5FFC00797E61}"/>
    <hyperlink ref="D265" r:id="rId237" xr:uid="{4F79FA49-BDD5-4AEF-ADD6-54B0B64437F7}"/>
    <hyperlink ref="D283" r:id="rId238" xr:uid="{AD7BF75B-3D62-4CC0-8308-D791FFC1F723}"/>
    <hyperlink ref="D47" r:id="rId239" xr:uid="{1D6FEF44-A0E2-4286-8AEF-8F5D0DC97DA1}"/>
    <hyperlink ref="D242" r:id="rId240" xr:uid="{D2696FCC-DF1C-41DD-A3E6-68E64A544D1A}"/>
    <hyperlink ref="D149" r:id="rId241" xr:uid="{71CCAFC3-61FF-4CF7-8C44-6F2F05AD4C5B}"/>
    <hyperlink ref="D286" r:id="rId242" xr:uid="{DA26FF00-4508-45C3-9B2E-B6FDE00053D4}"/>
    <hyperlink ref="D315" r:id="rId243" display="Contemporary\Dido\White Flag.txt" xr:uid="{00000000-0004-0000-0100-000092010000}"/>
    <hyperlink ref="D314" r:id="rId244" xr:uid="{B0B921BE-FA49-4DA0-B9DE-70BE2BC353CF}"/>
    <hyperlink ref="D223" r:id="rId245" display="Contemporary\Adele\Rolling In The Deep.txt" xr:uid="{00000000-0004-0000-0100-000027010000}"/>
    <hyperlink ref="D222" r:id="rId246" xr:uid="{85769BD9-8FD4-45FE-A77F-1479645507B6}"/>
    <hyperlink ref="D303" r:id="rId247" xr:uid="{0787C669-F7BE-4577-AE89-C24FC710652B}"/>
    <hyperlink ref="D87" r:id="rId248" display="Contemporary\Michael Buble\Everything.txt" xr:uid="{7AAEFFA7-63B4-49C7-A183-D1496626B98F}"/>
    <hyperlink ref="D224" r:id="rId249" xr:uid="{87F1D5A6-2606-4AA6-8120-458BE7EC43C2}"/>
    <hyperlink ref="D90" r:id="rId250" xr:uid="{B5F001E5-D885-4D7C-B9EA-8085D67820B5}"/>
    <hyperlink ref="D94" r:id="rId251" xr:uid="{739968BE-1203-428E-AB6B-66DD181C19F3}"/>
    <hyperlink ref="D163" r:id="rId252" xr:uid="{B819FCCE-F064-4549-AF10-771CDC68B0C4}"/>
    <hyperlink ref="D295" r:id="rId253" xr:uid="{48AC6CAD-E384-4310-8358-7754AED58461}"/>
    <hyperlink ref="D140" r:id="rId254" xr:uid="{2E49DE05-6B6A-490A-9EE6-D5215E5668E2}"/>
    <hyperlink ref="D101" r:id="rId255" xr:uid="{00989480-F27B-4508-B9ED-CDBC69528DD1}"/>
    <hyperlink ref="D118" r:id="rId256" xr:uid="{1C25FB7F-B626-4388-8CFC-C30896183322}"/>
    <hyperlink ref="D3" r:id="rId257" display="A Little More" xr:uid="{B939DB7D-7BBA-42FF-AEE4-5CCE60033092}"/>
    <hyperlink ref="D60" r:id="rId258" xr:uid="{0F801C10-94BD-44D3-9CE1-CFBFB3C9A1A8}"/>
    <hyperlink ref="D289" r:id="rId259" xr:uid="{72492305-BA04-4788-BDCD-1343B9D2EBD9}"/>
    <hyperlink ref="D146" r:id="rId260" xr:uid="{00000000-0004-0000-0100-0000BD000000}"/>
    <hyperlink ref="D211" r:id="rId261" xr:uid="{EF38CE08-9C2C-4112-8A3E-1D16A7304FA5}"/>
    <hyperlink ref="D182" r:id="rId262" display="Moon River" xr:uid="{4035D111-3F8F-43EB-B9CB-0E48C28FD8BC}"/>
    <hyperlink ref="D237" r:id="rId263" display="Contemporary\Sade\Smooth Operator.txt" xr:uid="{00000000-0004-0000-0100-000030010000}"/>
    <hyperlink ref="D236" r:id="rId264" xr:uid="{F59BE588-6D86-42DB-8E77-46038BC7CF5F}"/>
    <hyperlink ref="D108" r:id="rId265" xr:uid="{2C66576D-4324-4F77-B3C6-5F42E0DDA3CC}"/>
    <hyperlink ref="D5" r:id="rId266" xr:uid="{8F871BC9-5E86-4C1B-A8A7-529B5430A7D8}"/>
    <hyperlink ref="D142" r:id="rId267" xr:uid="{31B39DD4-1ED9-4F3C-9709-6AFF4621FCC6}"/>
    <hyperlink ref="D207" r:id="rId268" xr:uid="{0CDD799C-E6D1-448F-9541-2567A4AD53A2}"/>
    <hyperlink ref="D176" r:id="rId269" xr:uid="{9DBD59F4-CCEA-4FB3-9D0C-EB0104A7EFED}"/>
    <hyperlink ref="D49" r:id="rId270" display="Contemporary\Elvis Presley\Can't Help Falling In Love.txt" xr:uid="{A88B8562-6C8D-4744-83D8-F6982516F943}"/>
    <hyperlink ref="D155" r:id="rId271" xr:uid="{CB03DCF6-36C5-4F94-A288-806DEE9886DC}"/>
    <hyperlink ref="D279" r:id="rId272" xr:uid="{F4D718EB-4477-4914-8E26-FEF3823E8C0F}"/>
    <hyperlink ref="D277" r:id="rId273" display="Contemporary\Blondie\The Tide Is High.txt" xr:uid="{00000000-0004-0000-0100-00005F010000}"/>
    <hyperlink ref="D274" r:id="rId274" display="Everything At Once" xr:uid="{EB7887C9-5B0E-4951-9A63-A0B54FD11B4A}"/>
    <hyperlink ref="D104" r:id="rId275" xr:uid="{C46F1C12-EF54-4574-846B-C7AE4FC83010}"/>
    <hyperlink ref="D114" r:id="rId276" display="Got You Under My Skin" xr:uid="{42AE1C02-D1F3-4A27-A710-96C4F621F2D2}"/>
    <hyperlink ref="D195" r:id="rId277" xr:uid="{E0EA310E-C019-4F20-9E78-F99DB7401807}"/>
    <hyperlink ref="D301" r:id="rId278" xr:uid="{E00B622A-96A9-4E2C-ACBA-B3B33B7F7DE0}"/>
    <hyperlink ref="D124" r:id="rId279" xr:uid="{A54F16B4-57F6-4F91-B677-3AD980159A39}"/>
    <hyperlink ref="D31" r:id="rId280" xr:uid="{3FA6E691-D59C-4D94-A552-572097E571D1}"/>
    <hyperlink ref="D259" r:id="rId281" xr:uid="{2C9162B4-5C09-4B81-9325-BA412F876CED}"/>
    <hyperlink ref="D34" r:id="rId282" xr:uid="{ACD05046-E785-4B97-BF25-A1E610C4DF19}"/>
    <hyperlink ref="D27" r:id="rId283" display="Contemporary\Hindi Zahra\Beautiful Tango.txt" xr:uid="{A01798EE-80A8-4D68-AE33-B790711A632B}"/>
    <hyperlink ref="D252" r:id="rId284" xr:uid="{60308E5F-2CA3-4B59-84A6-ADFA6DAA5A6F}"/>
    <hyperlink ref="D217" r:id="rId285" display="Rhythm Of Love" xr:uid="{57010D9A-C4E3-492A-9AB2-A9E93921E80E}"/>
    <hyperlink ref="D216" r:id="rId286" xr:uid="{B49D2984-B941-4F11-826F-E80C5EF06D72}"/>
    <hyperlink ref="D98" r:id="rId287" xr:uid="{BB8DA708-9EAF-4D34-A51C-9C67AD1A7AC9}"/>
    <hyperlink ref="D153" r:id="rId288" xr:uid="{4991B691-28F1-451D-A249-0B65293DC25A}"/>
    <hyperlink ref="D239" r:id="rId289" xr:uid="{8054EA58-AC3F-4935-99FF-8ED9F27B04A5}"/>
    <hyperlink ref="D160" r:id="rId290" xr:uid="{75459469-7592-4F13-BDA1-5A2D72E7920E}"/>
    <hyperlink ref="D312" r:id="rId291" xr:uid="{B2C161A8-21CD-44FA-B83B-DC7E34640D53}"/>
    <hyperlink ref="D202" r:id="rId292" display="Contemporary\Blue\One Love.txt" xr:uid="{00000000-0004-0000-0100-00000A010000}"/>
    <hyperlink ref="D201" r:id="rId293" xr:uid="{C226A8A1-114C-40B5-9095-3E89E52DDC5A}"/>
    <hyperlink ref="D320" r:id="rId294" xr:uid="{C3E7238F-1F13-49C2-8190-411F681CD472}"/>
    <hyperlink ref="D134" r:id="rId295" display="Contemporary\Coldplay\Hymn For The Weekend.txt" xr:uid="{00000000-0004-0000-0100-0000B3000000}"/>
    <hyperlink ref="D133" r:id="rId296" xr:uid="{3453EDF2-1F16-431E-9942-9C57ADF7BF8E}"/>
    <hyperlink ref="D232" r:id="rId297" xr:uid="{51C681E1-DE99-4F69-84CF-9A29876DCAC1}"/>
    <hyperlink ref="D288" r:id="rId298" xr:uid="{3339529A-04F2-4C2E-8E44-1B40AE7F3161}"/>
    <hyperlink ref="D22" r:id="rId299" xr:uid="{ED0AF5BE-A89F-4F68-86DA-59C0C1C6AB0A}"/>
    <hyperlink ref="D4" r:id="rId300" xr:uid="{8AED57B9-E83E-40E6-9B9F-26EC5C329E33}"/>
    <hyperlink ref="D148" r:id="rId301" xr:uid="{308A9791-39BE-4B7C-A5D7-FE7BC7EF4388}"/>
    <hyperlink ref="D276" r:id="rId302" xr:uid="{2A1EC64E-75C1-4C8F-A53A-A530C830B4A5}"/>
    <hyperlink ref="D229" r:id="rId303" xr:uid="{B971544A-D34D-4CEA-BDF3-192EDA813068}"/>
    <hyperlink ref="D175" r:id="rId304" xr:uid="{E9ED2E06-E96A-4A8B-8BBA-1CEE6CBBF922}"/>
    <hyperlink ref="D241" r:id="rId305" xr:uid="{47BB96DD-DFE3-4131-B029-01E85B0FD182}"/>
    <hyperlink ref="D8" r:id="rId306" xr:uid="{B61E36D2-C860-4E67-8DAC-40DE43302707}"/>
    <hyperlink ref="D14" r:id="rId307" xr:uid="{250AB4A4-65B3-4992-8FB3-497D9CFD1A1F}"/>
    <hyperlink ref="D32" r:id="rId308" display="Billlie Jean" xr:uid="{73B85156-95A9-4992-9081-6767ACE5000A}"/>
    <hyperlink ref="D62" r:id="rId309" xr:uid="{30BB558B-A56C-48C9-9380-5DB2ACB315D0}"/>
    <hyperlink ref="D85" r:id="rId310" xr:uid="{183597BE-AE50-4DB6-B287-9DD5E97C54B3}"/>
    <hyperlink ref="D89" r:id="rId311" xr:uid="{4DF71BAF-90AE-4C38-AD61-DDDB298B2F35}"/>
    <hyperlink ref="D100" r:id="rId312" xr:uid="{32DF755E-D9D1-4E64-BD95-E4A15BE1E0B6}"/>
    <hyperlink ref="D106" r:id="rId313" xr:uid="{473B4B94-530C-432D-A4B1-12FA1B1877C5}"/>
    <hyperlink ref="D121" r:id="rId314" xr:uid="{A6C261EE-7ACB-422C-A9FC-1E1F55B0EDC0}"/>
    <hyperlink ref="D151" r:id="rId315" xr:uid="{C7B1FAF8-72A4-4322-A049-16BDF9E56518}"/>
    <hyperlink ref="D168" r:id="rId316" xr:uid="{AB7AF7DC-A4AA-4DE5-AD53-A628F33E89A8}"/>
    <hyperlink ref="D190" r:id="rId317" xr:uid="{16B11B25-FF43-47B7-B7F8-186F63DFE9DB}"/>
    <hyperlink ref="D226" r:id="rId318" xr:uid="{EC598DAA-9845-49A9-A2A2-DF6CCF01960A}"/>
    <hyperlink ref="D235" r:id="rId319" xr:uid="{0209F699-2DEC-4675-81D0-C1BD1E73E1C8}"/>
    <hyperlink ref="D248" r:id="rId320" xr:uid="{92BACDEF-D340-461F-B371-070E9B02DBA3}"/>
    <hyperlink ref="D249" r:id="rId321" xr:uid="{D125040E-BB8F-44C8-9BF2-B5B92DE0668E}"/>
    <hyperlink ref="D23" r:id="rId322" xr:uid="{F2D320B0-DD3E-45C1-9A65-17CC0C3F48B8}"/>
    <hyperlink ref="D305" r:id="rId323" display="Vincent" xr:uid="{ED51F40C-C765-460D-9F40-BF54ED8143A7}"/>
    <hyperlink ref="D287" r:id="rId324" display="This Magic Moment" xr:uid="{00000000-0004-0000-0100-00006D010000}"/>
    <hyperlink ref="D136" r:id="rId325" display="I Wanna Dance With Somebody" xr:uid="{A1BEA510-352D-4037-B021-7306EE49D519}"/>
    <hyperlink ref="D305" r:id="rId326" display="Vincent" xr:uid="{ED51F40C-C765-460D-9F40-BF54ED8143A7}"/>
    <hyperlink ref="D287" r:id="rId327" display="This Magic Moment" xr:uid="{00000000-0004-0000-0100-00006D010000}"/>
    <hyperlink ref="D136" r:id="rId328" display="I Wanna Dance With Somebody" xr:uid="{A1BEA510-352D-4037-B021-7306EE49D519}"/>
    <hyperlink ref="D76" r:id="rId329" display="Don't Make Me Miss You" xr:uid="{4DF496B4-F417-4BC1-AD8C-DB224B862078}"/>
    <hyperlink ref="D79" r:id="rId330" xr:uid="{1BB84EF2-AAB8-41E8-B14E-EC42A25A8D85}"/>
    <hyperlink ref="D35" r:id="rId331" xr:uid="{61456D84-7488-49A0-93B3-59702463E28E}"/>
    <hyperlink ref="D120" r:id="rId332" xr:uid="{0C4F4D2B-34B7-4E1D-AC71-061F50E94CF2}"/>
    <hyperlink ref="D158" r:id="rId333" xr:uid="{32CD4BDC-0BBB-4438-866C-A6958AB4A9EF}"/>
  </hyperlinks>
  <printOptions horizontalCentered="1" gridLines="1"/>
  <pageMargins left="0.25" right="0.25" top="0.44027777777777799" bottom="0.49027777777777798" header="0.51180555555555496" footer="0.51180555555555496"/>
  <pageSetup paperSize="9" firstPageNumber="0" orientation="portrait" horizontalDpi="300" verticalDpi="300" r:id="rId3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MK43"/>
  <sheetViews>
    <sheetView zoomScale="130" zoomScaleNormal="130" workbookViewId="0">
      <pane ySplit="1" topLeftCell="A3" activePane="bottomLeft" state="frozen"/>
      <selection pane="bottomLeft" activeCell="A3" sqref="A3"/>
    </sheetView>
  </sheetViews>
  <sheetFormatPr defaultRowHeight="12.75" x14ac:dyDescent="0.2"/>
  <cols>
    <col min="1" max="1" width="38.5703125" style="33" customWidth="1"/>
    <col min="2" max="2" width="3.42578125" style="34" customWidth="1"/>
    <col min="3" max="3" width="9.42578125" style="82" customWidth="1"/>
    <col min="4" max="4" width="18.28515625" style="35" customWidth="1"/>
    <col min="5" max="5" width="8.28515625" style="36" customWidth="1"/>
    <col min="6" max="6" width="11.42578125" style="35" customWidth="1"/>
    <col min="7" max="1025" width="14.42578125" style="35" customWidth="1"/>
  </cols>
  <sheetData>
    <row r="1" spans="1:27" s="41" customFormat="1" ht="25.35" customHeight="1" x14ac:dyDescent="0.2">
      <c r="A1" s="37" t="s">
        <v>3</v>
      </c>
      <c r="B1" s="37"/>
      <c r="C1" s="38" t="s">
        <v>490</v>
      </c>
      <c r="D1" s="37" t="s">
        <v>491</v>
      </c>
      <c r="E1" s="39" t="s">
        <v>492</v>
      </c>
      <c r="F1" s="37"/>
      <c r="G1" s="40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hidden="1" x14ac:dyDescent="0.2">
      <c r="A2" s="42"/>
      <c r="B2" s="43"/>
      <c r="C2" s="79"/>
      <c r="D2" s="42"/>
      <c r="E2" s="44"/>
      <c r="F2" s="42"/>
      <c r="G2" s="45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spans="1:27" ht="13.5" x14ac:dyDescent="0.25">
      <c r="A3" s="70" t="s">
        <v>584</v>
      </c>
      <c r="B3" s="73"/>
      <c r="C3" s="80" t="s">
        <v>585</v>
      </c>
      <c r="D3" s="53" t="s">
        <v>586</v>
      </c>
      <c r="E3" s="72">
        <v>2.4305555555555599E-3</v>
      </c>
      <c r="F3" s="53"/>
      <c r="G3" s="47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 spans="1:27" ht="13.5" x14ac:dyDescent="0.25">
      <c r="A4" s="70" t="s">
        <v>587</v>
      </c>
      <c r="B4" s="73"/>
      <c r="C4" s="80">
        <v>116</v>
      </c>
      <c r="D4" s="53" t="s">
        <v>494</v>
      </c>
      <c r="E4" s="72">
        <v>1.3888888888888889E-3</v>
      </c>
      <c r="F4" s="53"/>
      <c r="G4" s="47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27" ht="13.5" x14ac:dyDescent="0.25">
      <c r="A5" s="70" t="s">
        <v>500</v>
      </c>
      <c r="B5" s="73" t="s">
        <v>497</v>
      </c>
      <c r="C5" s="80">
        <v>147</v>
      </c>
      <c r="D5" s="53" t="s">
        <v>494</v>
      </c>
      <c r="E5" s="72">
        <v>2.4305555555555599E-3</v>
      </c>
      <c r="F5" s="53"/>
      <c r="G5" s="47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3.5" x14ac:dyDescent="0.25">
      <c r="A6" s="70" t="s">
        <v>506</v>
      </c>
      <c r="B6" s="73" t="s">
        <v>497</v>
      </c>
      <c r="C6" s="80">
        <v>156</v>
      </c>
      <c r="D6" s="53" t="s">
        <v>494</v>
      </c>
      <c r="E6" s="72">
        <v>1.736111111111111E-3</v>
      </c>
      <c r="F6" s="53"/>
      <c r="G6" s="47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27" ht="13.5" x14ac:dyDescent="0.25">
      <c r="A7" s="70" t="s">
        <v>588</v>
      </c>
      <c r="B7" s="73"/>
      <c r="C7" s="80">
        <v>553</v>
      </c>
      <c r="D7" s="53" t="s">
        <v>494</v>
      </c>
      <c r="E7" s="72">
        <v>2.0833333333333333E-3</v>
      </c>
      <c r="F7" s="53"/>
      <c r="G7" s="47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" x14ac:dyDescent="0.3">
      <c r="A8" s="70" t="s">
        <v>582</v>
      </c>
      <c r="B8" s="71"/>
      <c r="C8" s="80">
        <v>772</v>
      </c>
      <c r="D8" s="53" t="s">
        <v>494</v>
      </c>
      <c r="E8" s="72">
        <v>6.9444444444444404E-4</v>
      </c>
      <c r="F8" s="53"/>
      <c r="G8" s="47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 spans="1:27" ht="15" x14ac:dyDescent="0.3">
      <c r="A9" s="70" t="s">
        <v>583</v>
      </c>
      <c r="B9" s="71"/>
      <c r="C9" s="80">
        <v>775</v>
      </c>
      <c r="D9" s="53" t="s">
        <v>494</v>
      </c>
      <c r="E9" s="72">
        <v>6.9444444444444404E-4</v>
      </c>
      <c r="F9" s="53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spans="1:27" ht="15" x14ac:dyDescent="0.3">
      <c r="A10" s="70" t="s">
        <v>499</v>
      </c>
      <c r="B10" s="71"/>
      <c r="C10" s="80">
        <v>781</v>
      </c>
      <c r="D10" s="53" t="s">
        <v>494</v>
      </c>
      <c r="E10" s="72">
        <v>8.1018518518518505E-4</v>
      </c>
      <c r="F10" s="53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spans="1:27" ht="15" x14ac:dyDescent="0.3">
      <c r="A11" s="70" t="s">
        <v>501</v>
      </c>
      <c r="B11" s="71"/>
      <c r="C11" s="80">
        <v>846</v>
      </c>
      <c r="D11" s="53" t="s">
        <v>494</v>
      </c>
      <c r="E11" s="72">
        <v>1.5624999999999999E-3</v>
      </c>
      <c r="F11" s="53"/>
      <c r="G11" s="47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" x14ac:dyDescent="0.3">
      <c r="A12" s="70" t="s">
        <v>589</v>
      </c>
      <c r="B12" s="71"/>
      <c r="C12" s="80">
        <v>848</v>
      </c>
      <c r="D12" s="53" t="s">
        <v>494</v>
      </c>
      <c r="E12" s="72">
        <v>1.38888888888889E-3</v>
      </c>
      <c r="F12" s="53"/>
      <c r="G12" s="47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spans="1:27" ht="15" x14ac:dyDescent="0.3">
      <c r="A13" s="70" t="s">
        <v>590</v>
      </c>
      <c r="B13" s="71"/>
      <c r="C13" s="80">
        <v>850</v>
      </c>
      <c r="D13" s="53" t="s">
        <v>494</v>
      </c>
      <c r="E13" s="72">
        <v>1.0416666666666667E-3</v>
      </c>
      <c r="F13" s="53"/>
      <c r="G13" s="47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3.5" x14ac:dyDescent="0.25">
      <c r="A14" s="70" t="s">
        <v>496</v>
      </c>
      <c r="B14" s="73" t="s">
        <v>497</v>
      </c>
      <c r="C14" s="80">
        <v>988</v>
      </c>
      <c r="D14" s="53" t="s">
        <v>494</v>
      </c>
      <c r="E14" s="72">
        <v>1.5625000000000001E-3</v>
      </c>
      <c r="F14" s="53"/>
      <c r="G14" s="47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spans="1:27" ht="15" x14ac:dyDescent="0.3">
      <c r="A15" s="70" t="s">
        <v>498</v>
      </c>
      <c r="B15" s="71"/>
      <c r="C15" s="80">
        <v>988</v>
      </c>
      <c r="D15" s="53" t="s">
        <v>494</v>
      </c>
      <c r="E15" s="72">
        <v>1.38888888888889E-3</v>
      </c>
      <c r="F15" s="53"/>
      <c r="G15" s="47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spans="1:27" ht="13.5" x14ac:dyDescent="0.25">
      <c r="A16" s="70" t="s">
        <v>503</v>
      </c>
      <c r="B16" s="73" t="s">
        <v>497</v>
      </c>
      <c r="C16" s="80">
        <v>1004</v>
      </c>
      <c r="D16" s="53" t="s">
        <v>494</v>
      </c>
      <c r="E16" s="72">
        <v>1.7361111111111099E-3</v>
      </c>
      <c r="F16" s="53" t="s">
        <v>504</v>
      </c>
      <c r="G16" s="47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spans="1:27" ht="13.5" x14ac:dyDescent="0.25">
      <c r="A17" s="70" t="s">
        <v>528</v>
      </c>
      <c r="B17" s="73"/>
      <c r="C17" s="80">
        <v>1068</v>
      </c>
      <c r="D17" s="53" t="s">
        <v>494</v>
      </c>
      <c r="E17" s="72">
        <v>3.1249999999999997E-3</v>
      </c>
      <c r="F17" s="53"/>
      <c r="G17" s="47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spans="1:27" ht="15" x14ac:dyDescent="0.3">
      <c r="A18" s="70" t="s">
        <v>507</v>
      </c>
      <c r="B18" s="71"/>
      <c r="C18" s="80">
        <v>13</v>
      </c>
      <c r="D18" s="53" t="s">
        <v>508</v>
      </c>
      <c r="E18" s="72">
        <v>3.472222222222222E-3</v>
      </c>
      <c r="F18" s="53"/>
    </row>
    <row r="19" spans="1:27" ht="13.5" x14ac:dyDescent="0.25">
      <c r="A19" s="53" t="s">
        <v>82</v>
      </c>
      <c r="B19" s="73" t="s">
        <v>497</v>
      </c>
      <c r="C19" s="81"/>
      <c r="D19" s="53" t="s">
        <v>509</v>
      </c>
      <c r="E19" s="72">
        <v>2.0833333333333298E-3</v>
      </c>
      <c r="F19" s="53"/>
    </row>
    <row r="20" spans="1:27" ht="15" x14ac:dyDescent="0.3">
      <c r="A20" s="70" t="s">
        <v>510</v>
      </c>
      <c r="B20" s="71"/>
      <c r="C20" s="80">
        <v>437</v>
      </c>
      <c r="D20" s="53" t="s">
        <v>511</v>
      </c>
      <c r="E20" s="72">
        <v>1.5046296296296301E-3</v>
      </c>
      <c r="F20" s="53"/>
    </row>
    <row r="21" spans="1:27" ht="15" x14ac:dyDescent="0.3">
      <c r="A21" s="70" t="s">
        <v>512</v>
      </c>
      <c r="B21" s="71"/>
      <c r="C21" s="80">
        <v>545</v>
      </c>
      <c r="D21" s="53" t="s">
        <v>513</v>
      </c>
      <c r="E21" s="72">
        <v>6.9444444444444397E-3</v>
      </c>
      <c r="F21" s="53"/>
    </row>
    <row r="22" spans="1:27" ht="15" x14ac:dyDescent="0.3">
      <c r="A22" s="70" t="s">
        <v>514</v>
      </c>
      <c r="B22" s="71"/>
      <c r="C22" s="80"/>
      <c r="D22" s="53" t="s">
        <v>515</v>
      </c>
      <c r="E22" s="72">
        <v>1.7361111111111099E-3</v>
      </c>
      <c r="F22" s="53"/>
    </row>
    <row r="23" spans="1:27" ht="13.5" x14ac:dyDescent="0.25">
      <c r="A23" s="70" t="s">
        <v>516</v>
      </c>
      <c r="B23" s="73" t="s">
        <v>497</v>
      </c>
      <c r="C23" s="81"/>
      <c r="D23" s="53" t="s">
        <v>517</v>
      </c>
      <c r="E23" s="72">
        <v>1.85185185185185E-3</v>
      </c>
      <c r="F23" s="53"/>
    </row>
    <row r="24" spans="1:27" ht="13.5" x14ac:dyDescent="0.25">
      <c r="A24" s="70" t="s">
        <v>518</v>
      </c>
      <c r="B24" s="73" t="s">
        <v>497</v>
      </c>
      <c r="C24" s="81"/>
      <c r="D24" s="53" t="s">
        <v>519</v>
      </c>
      <c r="E24" s="72">
        <v>1.5046296296296301E-3</v>
      </c>
      <c r="F24" s="53"/>
    </row>
    <row r="25" spans="1:27" ht="13.5" x14ac:dyDescent="0.25">
      <c r="A25" s="70" t="s">
        <v>520</v>
      </c>
      <c r="B25" s="73" t="s">
        <v>497</v>
      </c>
      <c r="C25" s="80"/>
      <c r="D25" s="53" t="s">
        <v>521</v>
      </c>
      <c r="E25" s="72">
        <v>2.7777777777777801E-3</v>
      </c>
      <c r="F25" s="53"/>
    </row>
    <row r="26" spans="1:27" ht="13.5" x14ac:dyDescent="0.25">
      <c r="A26" s="53" t="s">
        <v>522</v>
      </c>
      <c r="B26" s="73" t="s">
        <v>497</v>
      </c>
      <c r="C26" s="81"/>
      <c r="D26" s="53" t="s">
        <v>523</v>
      </c>
      <c r="E26" s="72">
        <v>3.4722222222222199E-3</v>
      </c>
      <c r="F26" s="53"/>
    </row>
    <row r="27" spans="1:27" ht="13.5" x14ac:dyDescent="0.25">
      <c r="A27" s="53" t="s">
        <v>85</v>
      </c>
      <c r="B27" s="73" t="s">
        <v>497</v>
      </c>
      <c r="C27" s="80"/>
      <c r="D27" s="53" t="s">
        <v>524</v>
      </c>
      <c r="E27" s="72">
        <v>2.0833333333333298E-3</v>
      </c>
      <c r="F27" s="53"/>
    </row>
    <row r="28" spans="1:27" ht="15" x14ac:dyDescent="0.3">
      <c r="A28" s="70" t="s">
        <v>525</v>
      </c>
      <c r="B28" s="71"/>
      <c r="C28" s="80"/>
      <c r="D28" s="53" t="s">
        <v>526</v>
      </c>
      <c r="E28" s="72">
        <v>1.7361111111111099E-3</v>
      </c>
      <c r="F28" s="53"/>
    </row>
    <row r="29" spans="1:27" ht="13.5" x14ac:dyDescent="0.25">
      <c r="A29" s="53" t="s">
        <v>527</v>
      </c>
      <c r="B29" s="73" t="s">
        <v>497</v>
      </c>
      <c r="C29" s="81"/>
      <c r="D29" s="53"/>
      <c r="E29" s="72">
        <v>2.66203703703704E-3</v>
      </c>
      <c r="F29" s="53"/>
    </row>
    <row r="30" spans="1:27" ht="13.5" x14ac:dyDescent="0.25">
      <c r="A30" s="53"/>
      <c r="B30" s="73"/>
      <c r="C30" s="80"/>
      <c r="D30" s="53"/>
      <c r="E30" s="72"/>
      <c r="F30" s="53"/>
    </row>
    <row r="31" spans="1:27" ht="13.5" x14ac:dyDescent="0.25">
      <c r="A31" s="53"/>
      <c r="B31" s="73"/>
      <c r="C31" s="81"/>
      <c r="D31" s="53"/>
      <c r="E31" s="72"/>
      <c r="F31" s="53"/>
    </row>
    <row r="32" spans="1:27" ht="13.5" x14ac:dyDescent="0.25">
      <c r="A32" s="53"/>
      <c r="B32" s="73"/>
      <c r="C32" s="80"/>
      <c r="D32" s="53"/>
      <c r="E32" s="72"/>
      <c r="F32" s="53"/>
    </row>
    <row r="33" spans="1:27" ht="13.5" x14ac:dyDescent="0.25">
      <c r="A33" s="53"/>
      <c r="B33" s="73"/>
      <c r="C33" s="80"/>
      <c r="D33" s="53"/>
      <c r="E33" s="72"/>
      <c r="F33" s="53"/>
    </row>
    <row r="34" spans="1:27" ht="13.5" x14ac:dyDescent="0.25">
      <c r="A34" s="53"/>
      <c r="B34" s="73"/>
      <c r="C34" s="81"/>
      <c r="D34" s="53"/>
      <c r="E34" s="72"/>
      <c r="F34" s="53"/>
    </row>
    <row r="35" spans="1:27" ht="13.5" x14ac:dyDescent="0.25">
      <c r="A35" s="53"/>
      <c r="B35" s="73"/>
      <c r="C35" s="81"/>
      <c r="D35" s="53"/>
      <c r="E35" s="72"/>
      <c r="F35" s="53"/>
    </row>
    <row r="36" spans="1:27" ht="13.5" x14ac:dyDescent="0.25">
      <c r="A36" s="53"/>
      <c r="B36" s="73"/>
      <c r="C36" s="81"/>
      <c r="D36" s="53"/>
      <c r="E36" s="72"/>
      <c r="F36" s="53"/>
    </row>
    <row r="38" spans="1:27" x14ac:dyDescent="0.2">
      <c r="A38" s="83" t="s">
        <v>591</v>
      </c>
    </row>
    <row r="39" spans="1:27" ht="15" x14ac:dyDescent="0.3">
      <c r="A39" s="70" t="s">
        <v>502</v>
      </c>
      <c r="B39" s="71"/>
      <c r="C39" s="80">
        <v>1002</v>
      </c>
      <c r="D39" s="53" t="s">
        <v>494</v>
      </c>
      <c r="E39" s="72">
        <v>1.90972222222222E-3</v>
      </c>
      <c r="F39" s="53"/>
      <c r="G39" s="47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1:27" ht="13.5" x14ac:dyDescent="0.25">
      <c r="A40" s="70" t="s">
        <v>503</v>
      </c>
      <c r="B40" s="73" t="s">
        <v>497</v>
      </c>
      <c r="C40" s="80">
        <v>1004</v>
      </c>
      <c r="D40" s="53" t="s">
        <v>494</v>
      </c>
      <c r="E40" s="72">
        <v>1.7361111111111099E-3</v>
      </c>
      <c r="F40" s="53" t="s">
        <v>504</v>
      </c>
      <c r="G40" s="47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 spans="1:27" ht="15" x14ac:dyDescent="0.3">
      <c r="A41" s="70" t="s">
        <v>505</v>
      </c>
      <c r="B41" s="71"/>
      <c r="C41" s="80">
        <v>1006</v>
      </c>
      <c r="D41" s="53" t="s">
        <v>494</v>
      </c>
      <c r="E41" s="72">
        <v>1.38888888888889E-3</v>
      </c>
      <c r="F41" s="53"/>
      <c r="G41" s="47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spans="1:27" ht="15" x14ac:dyDescent="0.3">
      <c r="A42" s="70" t="s">
        <v>493</v>
      </c>
      <c r="B42" s="71"/>
      <c r="C42" s="80">
        <v>1007</v>
      </c>
      <c r="D42" s="53" t="s">
        <v>494</v>
      </c>
      <c r="E42" s="72">
        <v>1.90972222222222E-3</v>
      </c>
      <c r="F42" s="53"/>
      <c r="G42" s="47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 spans="1:27" ht="15" x14ac:dyDescent="0.3">
      <c r="A43" s="70" t="s">
        <v>495</v>
      </c>
      <c r="B43" s="71"/>
      <c r="C43" s="80">
        <v>1009</v>
      </c>
      <c r="D43" s="53" t="s">
        <v>494</v>
      </c>
      <c r="E43" s="72">
        <v>2.4305555555555599E-3</v>
      </c>
      <c r="F43" s="53"/>
      <c r="G43" s="47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</sheetData>
  <sortState xmlns:xlrd2="http://schemas.microsoft.com/office/spreadsheetml/2017/richdata2" ref="A5:F36">
    <sortCondition ref="D17:D36"/>
  </sortState>
  <hyperlinks>
    <hyperlink ref="A42" r:id="rId1" display="Classical\Bach, J.S\Cello Suites\BWV1007 Suite1Mvt3.mscz" xr:uid="{00000000-0004-0000-0200-000000000000}"/>
    <hyperlink ref="A43" r:id="rId2" display="Classical\Bach, J.S\Cello Suites\BWV1009 Suite3Mvt3.mscz" xr:uid="{00000000-0004-0000-0200-000001000000}"/>
    <hyperlink ref="A14" r:id="rId3" display="Classical\Bach, J.S\Goldberg Variations\BWV988 Variation 1.mscz" xr:uid="{00000000-0004-0000-0200-000002000000}"/>
    <hyperlink ref="B14" r:id="rId4" display="Classical\Bach, J.S\Goldberg Variations\03 J.S. Bach- The Goldberg Variations, Var. No. 1.mp3" xr:uid="{00000000-0004-0000-0200-000003000000}"/>
    <hyperlink ref="A8" r:id="rId5" display="Classical\Bach, J.S\Inventions\Invention 1.mscz" xr:uid="{00000000-0004-0000-0200-000005000000}"/>
    <hyperlink ref="A10" r:id="rId6" display="Classical\Bach, J.S\Inventions\Invention 10.mscz" xr:uid="{00000000-0004-0000-0200-000006000000}"/>
    <hyperlink ref="A9" r:id="rId7" display="Classical\Bach, J.S\Inventions\Invention 4.mscz" xr:uid="{00000000-0004-0000-0200-000007000000}"/>
    <hyperlink ref="A5" r:id="rId8" display="Classical\Bach, J.S\BWV147 Joy of Man's Desiring.mscz" xr:uid="{00000000-0004-0000-0200-000008000000}"/>
    <hyperlink ref="B5" r:id="rId9" display="Classical\Various\Cantabile\4 Jesu, Joy of Man's Desiring.mp3" xr:uid="{00000000-0004-0000-0200-000009000000}"/>
    <hyperlink ref="A13" r:id="rId10" xr:uid="{00000000-0004-0000-0200-00000A000000}"/>
    <hyperlink ref="A39" r:id="rId11" display="Classical\Bach, J.S\Violin Sonatas, Partitas\BWV1002 Partita1Mvt3.mscz" xr:uid="{00000000-0004-0000-0200-00000B000000}"/>
    <hyperlink ref="A40" r:id="rId12" display="Classical\Bach, J.S\Violin Sonatas, Partitas\BWV1004 Partita2Mvt4.mscz" xr:uid="{00000000-0004-0000-0200-00000C000000}"/>
    <hyperlink ref="B40" r:id="rId13" display="Classical\Bach, J.S\Violin Sonatas, Partitas\Gigue in Dm.mpeg" xr:uid="{00000000-0004-0000-0200-00000D000000}"/>
    <hyperlink ref="A41" r:id="rId14" display="Classical\Bach, J.S\Violin Sonatas, Partitas\BWV1006 Partita3Mvt6.mscz" xr:uid="{00000000-0004-0000-0200-00000E000000}"/>
    <hyperlink ref="A17" r:id="rId15" display="Classical\Bach, J.S\BWV1068 Orchestral Suite 3 - Air.mscz" xr:uid="{00000000-0004-0000-0200-00000F000000}"/>
    <hyperlink ref="A18" r:id="rId16" display="Classical\Beethoven, L.v\Piano Sonata 8 Mvt2 - Adagio Cantabile VA GTR.mscz" xr:uid="{00000000-0004-0000-0200-000010000000}"/>
    <hyperlink ref="B19" r:id="rId17" display="Classical\Various\Cantabile\14 Bolero.mp3" xr:uid="{00000000-0004-0000-0200-000011000000}"/>
    <hyperlink ref="A20" r:id="rId18" display="Classical\Handel, G.F\HWV 437 Allemande.mscz" xr:uid="{00000000-0004-0000-0200-000012000000}"/>
    <hyperlink ref="A21" r:id="rId19" display="Classical\Mozart, W.A\Piano Sonata 16 'Facile' K545.mscz" xr:uid="{00000000-0004-0000-0200-000013000000}"/>
    <hyperlink ref="A22" r:id="rId20" display="Classical\Saint-Saens\The Carnival of the Animals - The Swan (Le Cygne) easy.mscz" xr:uid="{00000000-0004-0000-0200-000014000000}"/>
    <hyperlink ref="A23" r:id="rId21" display="Classical\Various\Cantabile\13 Gymnopedie for Piano 1.mscz" xr:uid="{00000000-0004-0000-0200-000015000000}"/>
    <hyperlink ref="B23" r:id="rId22" display="Classical\Various\Cantabile\13 Gymnopedie for Piano 1.mp3" xr:uid="{00000000-0004-0000-0200-000016000000}"/>
    <hyperlink ref="A24" r:id="rId23" xr:uid="{00000000-0004-0000-0200-000017000000}"/>
    <hyperlink ref="B24" r:id="rId24" display="Classical\Various\Cantabile\11 Estudio 6.mp3" xr:uid="{00000000-0004-0000-0200-000018000000}"/>
    <hyperlink ref="A25" r:id="rId25" display="Classical\Various\Stanley Myers - Cavatina.mscz" xr:uid="{00000000-0004-0000-0200-000019000000}"/>
    <hyperlink ref="B25" r:id="rId26" display="Classical\Various\Stanley Myers - Cavatina.mp3" xr:uid="{00000000-0004-0000-0200-00001A000000}"/>
    <hyperlink ref="B26" r:id="rId27" display="Classical\Various\Cantabile\12 Recuerdos De La Alhambra.mp3" xr:uid="{00000000-0004-0000-0200-00001B000000}"/>
    <hyperlink ref="B27" r:id="rId28" display="Classical\Various\Stephane Wrembel - Bistro Fada.mp3" xr:uid="{00000000-0004-0000-0200-00001C000000}"/>
    <hyperlink ref="A28" r:id="rId29" xr:uid="{00000000-0004-0000-0200-00001D000000}"/>
    <hyperlink ref="B29" r:id="rId30" display="Classical\Various\Cantabile\10 Cantabile.mp3" xr:uid="{00000000-0004-0000-0200-00001E000000}"/>
    <hyperlink ref="A7" r:id="rId31" display="Classical\Various\Cantabile\5 Arioso.mscz" xr:uid="{00000000-0004-0000-0200-000026000000}"/>
    <hyperlink ref="A3" r:id="rId32" display="Classical\Bach, J.S\BWV147 Joy of Man's Desiring.mscz" xr:uid="{BEC194F6-4EAC-4F25-970D-723D11BF8C4D}"/>
    <hyperlink ref="A4" r:id="rId33" display="Classical\Bach, J.S\BWV147 Joy of Man's Desiring.mscz" xr:uid="{DF8C45F7-B62C-46F9-BB46-DD0F904A9CBB}"/>
    <hyperlink ref="A6" r:id="rId34" display="Classical\Various\Cantabile\5 Arioso.mscz" xr:uid="{B3ED0B8B-EB5E-4B8B-B953-9E15F4DE842C}"/>
    <hyperlink ref="B6" r:id="rId35" display="Classical\Various\Cantabile\5 Arioso.mp3" xr:uid="{07954695-7E3F-42CE-990F-F03F1BCC42A4}"/>
    <hyperlink ref="A11" r:id="rId36" display="Classical\Bach, J.S\BWV846 Prelude for Piano No. 1 in C.mscz" xr:uid="{5B89C5D1-1AB0-4A26-947D-B6F466B58A8E}"/>
    <hyperlink ref="A12" r:id="rId37" xr:uid="{715D8209-743E-4454-88D8-DE0E7C073764}"/>
    <hyperlink ref="A15" r:id="rId38" display="Classical\Bach, J.S\Goldberg Variations\BWV988 Variation 5.mscz" xr:uid="{00000000-0004-0000-0200-000004000000}"/>
    <hyperlink ref="A16" r:id="rId39" display="Classical\Bach, J.S\Violin Sonatas, Partitas\BWV1004 Partita2Mvt4.mscz" xr:uid="{7BC54933-D7AD-48E7-8A9E-A282C48B6A78}"/>
    <hyperlink ref="B16" r:id="rId40" display="Classical\Bach, J.S\Violin Sonatas, Partitas\Gigue in Dm.mpeg" xr:uid="{06AAD92F-DB79-4EB2-9F38-6566BC33A3CB}"/>
  </hyperlinks>
  <pageMargins left="0.7" right="0.7" top="0.75" bottom="0.75" header="0.51180555555555496" footer="0.51180555555555496"/>
  <pageSetup firstPageNumber="0" orientation="portrait" horizontalDpi="300" verticalDpi="300" r:id="rId4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5DFE-BAC0-4554-ADE6-17ED61143000}">
  <sheetPr codeName="Sheet3"/>
  <dimension ref="A1:AMJ206"/>
  <sheetViews>
    <sheetView zoomScale="129" zoomScaleNormal="129" workbookViewId="0">
      <pane ySplit="1" topLeftCell="A3" activePane="bottomLeft" state="frozen"/>
      <selection pane="bottomLeft" activeCell="A3" sqref="A3"/>
    </sheetView>
  </sheetViews>
  <sheetFormatPr defaultColWidth="9.28515625" defaultRowHeight="13.5" x14ac:dyDescent="0.25"/>
  <cols>
    <col min="1" max="1" width="1.28515625" style="54" customWidth="1"/>
    <col min="2" max="2" width="4.42578125" style="54" customWidth="1"/>
    <col min="3" max="3" width="4.7109375" style="54" bestFit="1" customWidth="1"/>
    <col min="4" max="4" width="24.5703125" style="58" customWidth="1"/>
    <col min="5" max="5" width="16.28515625" style="54" customWidth="1"/>
    <col min="6" max="6" width="11.28515625" style="54" customWidth="1"/>
    <col min="7" max="7" width="4.7109375" style="69" customWidth="1"/>
    <col min="8" max="8" width="11" style="54" customWidth="1"/>
    <col min="9" max="9" width="15.28515625" style="54" customWidth="1"/>
    <col min="10" max="10" width="7.28515625" style="54" customWidth="1"/>
    <col min="11" max="11" width="32" style="76" bestFit="1" customWidth="1"/>
    <col min="12" max="12" width="14.5703125" style="54" customWidth="1"/>
    <col min="13" max="1025" width="14.42578125" style="54" customWidth="1"/>
    <col min="1026" max="16384" width="9.28515625" style="54"/>
  </cols>
  <sheetData>
    <row r="1" spans="1:1024" ht="15" x14ac:dyDescent="0.3">
      <c r="A1" s="48" t="s">
        <v>0</v>
      </c>
      <c r="B1" s="49" t="s">
        <v>1</v>
      </c>
      <c r="C1" s="49" t="s">
        <v>2</v>
      </c>
      <c r="D1" s="50" t="s">
        <v>3</v>
      </c>
      <c r="E1" s="49" t="s">
        <v>4</v>
      </c>
      <c r="F1" s="49" t="s">
        <v>5</v>
      </c>
      <c r="G1" s="51" t="s">
        <v>6</v>
      </c>
      <c r="H1" s="49" t="s">
        <v>564</v>
      </c>
      <c r="I1" s="49" t="s">
        <v>8</v>
      </c>
      <c r="J1" s="49" t="s">
        <v>575</v>
      </c>
      <c r="K1" s="52" t="s">
        <v>9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</row>
    <row r="2" spans="1:1024" ht="15" hidden="1" x14ac:dyDescent="0.3">
      <c r="A2" s="55"/>
      <c r="B2" s="55"/>
      <c r="C2" s="53"/>
      <c r="D2" s="56"/>
      <c r="E2" s="55"/>
      <c r="F2" s="55"/>
      <c r="G2" s="57"/>
      <c r="H2" s="55"/>
      <c r="I2" s="55"/>
      <c r="J2" s="55"/>
      <c r="K2" s="75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</row>
    <row r="3" spans="1:1024" ht="15" x14ac:dyDescent="0.3">
      <c r="A3" s="55">
        <f t="shared" ref="A3:A65" ca="1" si="0">RAND()</f>
        <v>0.1483715227534943</v>
      </c>
      <c r="B3" s="55"/>
      <c r="C3" s="53" t="s">
        <v>361</v>
      </c>
      <c r="D3" s="77">
        <v>1973</v>
      </c>
      <c r="E3" s="59" t="s">
        <v>11</v>
      </c>
      <c r="F3" s="59"/>
      <c r="G3" s="60">
        <v>2007</v>
      </c>
      <c r="H3" s="59" t="s">
        <v>12</v>
      </c>
      <c r="I3" s="59" t="s">
        <v>13</v>
      </c>
      <c r="J3" s="59">
        <v>135</v>
      </c>
      <c r="K3" s="78">
        <v>1973</v>
      </c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</row>
    <row r="4" spans="1:1024" ht="15" x14ac:dyDescent="0.3">
      <c r="A4" s="55">
        <f t="shared" ca="1" si="0"/>
        <v>0.67025592732626094</v>
      </c>
      <c r="B4" s="55"/>
      <c r="C4" s="53" t="s">
        <v>14</v>
      </c>
      <c r="D4" s="61" t="s">
        <v>15</v>
      </c>
      <c r="E4" s="59" t="s">
        <v>16</v>
      </c>
      <c r="F4" s="59"/>
      <c r="G4" s="60">
        <v>2014</v>
      </c>
      <c r="H4" s="59" t="s">
        <v>12</v>
      </c>
      <c r="I4" s="59" t="s">
        <v>13</v>
      </c>
      <c r="J4" s="59">
        <v>160</v>
      </c>
      <c r="K4" s="61" t="s">
        <v>15</v>
      </c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</row>
    <row r="5" spans="1:1024" ht="15" x14ac:dyDescent="0.3">
      <c r="A5" s="55">
        <f t="shared" ca="1" si="0"/>
        <v>0.36790161651901376</v>
      </c>
      <c r="B5" s="55" t="s">
        <v>1</v>
      </c>
      <c r="C5" s="53" t="s">
        <v>17</v>
      </c>
      <c r="D5" s="61" t="s">
        <v>18</v>
      </c>
      <c r="E5" s="59" t="s">
        <v>19</v>
      </c>
      <c r="F5" s="59"/>
      <c r="G5" s="60">
        <v>2003</v>
      </c>
      <c r="H5" s="59" t="s">
        <v>20</v>
      </c>
      <c r="I5" s="59"/>
      <c r="J5" s="59">
        <v>130</v>
      </c>
      <c r="K5" s="65" t="s">
        <v>18</v>
      </c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</row>
    <row r="6" spans="1:1024" ht="15" x14ac:dyDescent="0.3">
      <c r="A6" s="55">
        <f t="shared" ca="1" si="0"/>
        <v>0.70158295002137061</v>
      </c>
      <c r="B6" s="55"/>
      <c r="C6" s="53" t="s">
        <v>26</v>
      </c>
      <c r="D6" s="63" t="s">
        <v>27</v>
      </c>
      <c r="E6" s="53" t="s">
        <v>28</v>
      </c>
      <c r="F6" s="53"/>
      <c r="G6" s="62">
        <v>2015</v>
      </c>
      <c r="H6" s="53" t="s">
        <v>13</v>
      </c>
      <c r="I6" s="53" t="s">
        <v>29</v>
      </c>
      <c r="J6" s="53">
        <v>115</v>
      </c>
      <c r="K6" s="63" t="s">
        <v>27</v>
      </c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</row>
    <row r="7" spans="1:1024" ht="15" x14ac:dyDescent="0.3">
      <c r="A7" s="55">
        <f t="shared" ca="1" si="0"/>
        <v>0.37373296482714535</v>
      </c>
      <c r="B7" s="64" t="s">
        <v>1</v>
      </c>
      <c r="C7" s="59" t="s">
        <v>30</v>
      </c>
      <c r="D7" s="61" t="s">
        <v>31</v>
      </c>
      <c r="E7" s="59" t="s">
        <v>32</v>
      </c>
      <c r="F7" s="59"/>
      <c r="G7" s="62">
        <v>2002</v>
      </c>
      <c r="H7" s="59" t="s">
        <v>12</v>
      </c>
      <c r="I7" s="59" t="s">
        <v>33</v>
      </c>
      <c r="J7" s="59">
        <v>90</v>
      </c>
      <c r="K7" s="61" t="s">
        <v>31</v>
      </c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</row>
    <row r="8" spans="1:1024" ht="15" x14ac:dyDescent="0.3">
      <c r="A8" s="55">
        <f t="shared" ca="1" si="0"/>
        <v>0.21364367442373078</v>
      </c>
      <c r="B8" s="64"/>
      <c r="C8" s="59"/>
      <c r="D8" s="61" t="s">
        <v>576</v>
      </c>
      <c r="E8" s="59" t="s">
        <v>577</v>
      </c>
      <c r="F8" s="59"/>
      <c r="G8" s="62">
        <v>1966</v>
      </c>
      <c r="H8" s="59" t="s">
        <v>12</v>
      </c>
      <c r="I8" s="59"/>
      <c r="J8" s="59">
        <v>95</v>
      </c>
      <c r="K8" s="61" t="s">
        <v>576</v>
      </c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</row>
    <row r="9" spans="1:1024" s="66" customFormat="1" ht="15" x14ac:dyDescent="0.3">
      <c r="A9" s="55">
        <f t="shared" ca="1" si="0"/>
        <v>0.4154990905860777</v>
      </c>
      <c r="B9" s="55"/>
      <c r="C9" s="53" t="s">
        <v>34</v>
      </c>
      <c r="D9" s="63" t="s">
        <v>35</v>
      </c>
      <c r="E9" s="53" t="s">
        <v>36</v>
      </c>
      <c r="F9" s="53"/>
      <c r="G9" s="62">
        <v>2005</v>
      </c>
      <c r="H9" s="53" t="s">
        <v>12</v>
      </c>
      <c r="I9" s="53" t="s">
        <v>13</v>
      </c>
      <c r="J9" s="53">
        <v>140</v>
      </c>
      <c r="K9" s="63" t="s">
        <v>35</v>
      </c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MI9" s="54"/>
      <c r="AMJ9" s="54"/>
    </row>
    <row r="10" spans="1:1024" ht="15" x14ac:dyDescent="0.3">
      <c r="A10" s="55">
        <f t="shared" ca="1" si="0"/>
        <v>0.41023602234938572</v>
      </c>
      <c r="B10" s="55"/>
      <c r="C10" s="53" t="s">
        <v>37</v>
      </c>
      <c r="D10" s="63" t="s">
        <v>38</v>
      </c>
      <c r="E10" s="53" t="s">
        <v>39</v>
      </c>
      <c r="F10" s="53"/>
      <c r="G10" s="62">
        <v>1958</v>
      </c>
      <c r="H10" s="53" t="s">
        <v>40</v>
      </c>
      <c r="I10" s="53"/>
      <c r="J10" s="53">
        <v>110</v>
      </c>
      <c r="K10" s="63" t="s">
        <v>38</v>
      </c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</row>
    <row r="11" spans="1:1024" ht="15" x14ac:dyDescent="0.3">
      <c r="A11" s="55">
        <f t="shared" ca="1" si="0"/>
        <v>0.12518281483379567</v>
      </c>
      <c r="B11" s="55"/>
      <c r="C11" s="53" t="s">
        <v>14</v>
      </c>
      <c r="D11" s="63" t="s">
        <v>44</v>
      </c>
      <c r="E11" s="53" t="s">
        <v>45</v>
      </c>
      <c r="F11" s="53"/>
      <c r="G11" s="62">
        <v>1999</v>
      </c>
      <c r="H11" s="53" t="s">
        <v>12</v>
      </c>
      <c r="I11" s="53" t="s">
        <v>29</v>
      </c>
      <c r="J11" s="53">
        <v>120</v>
      </c>
      <c r="K11" s="63" t="s">
        <v>44</v>
      </c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</row>
    <row r="12" spans="1:1024" ht="15" x14ac:dyDescent="0.3">
      <c r="A12" s="55">
        <f t="shared" ca="1" si="0"/>
        <v>0.78891691492373062</v>
      </c>
      <c r="B12" s="55"/>
      <c r="C12" s="53" t="s">
        <v>46</v>
      </c>
      <c r="D12" s="63" t="s">
        <v>47</v>
      </c>
      <c r="E12" s="53" t="s">
        <v>48</v>
      </c>
      <c r="G12" s="62">
        <v>1981</v>
      </c>
      <c r="H12" s="53" t="s">
        <v>49</v>
      </c>
      <c r="I12" s="53"/>
      <c r="J12" s="53">
        <v>85</v>
      </c>
      <c r="K12" s="63" t="s">
        <v>47</v>
      </c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</row>
    <row r="13" spans="1:1024" ht="15" x14ac:dyDescent="0.3">
      <c r="A13" s="55">
        <f t="shared" ca="1" si="0"/>
        <v>0.82450178119448858</v>
      </c>
      <c r="B13" s="55"/>
      <c r="C13" s="53"/>
      <c r="D13" s="63" t="s">
        <v>50</v>
      </c>
      <c r="E13" s="53" t="s">
        <v>19</v>
      </c>
      <c r="F13" s="53"/>
      <c r="G13" s="62">
        <v>1997</v>
      </c>
      <c r="H13" s="53" t="s">
        <v>12</v>
      </c>
      <c r="I13" s="53" t="s">
        <v>51</v>
      </c>
      <c r="J13" s="53">
        <v>85</v>
      </c>
      <c r="K13" s="63" t="s">
        <v>50</v>
      </c>
    </row>
    <row r="14" spans="1:1024" s="53" customFormat="1" ht="15" x14ac:dyDescent="0.3">
      <c r="A14" s="55">
        <f t="shared" ca="1" si="0"/>
        <v>0.43959258106568577</v>
      </c>
      <c r="B14" s="55"/>
      <c r="C14" s="53" t="s">
        <v>46</v>
      </c>
      <c r="D14" s="63" t="s">
        <v>52</v>
      </c>
      <c r="E14" s="53" t="s">
        <v>53</v>
      </c>
      <c r="G14" s="62">
        <v>1974</v>
      </c>
      <c r="H14" s="53" t="s">
        <v>12</v>
      </c>
      <c r="I14" s="53" t="s">
        <v>54</v>
      </c>
      <c r="J14" s="53">
        <v>60</v>
      </c>
      <c r="K14" s="63" t="s">
        <v>52</v>
      </c>
    </row>
    <row r="15" spans="1:1024" s="53" customFormat="1" ht="15" x14ac:dyDescent="0.3">
      <c r="A15" s="55">
        <f t="shared" ca="1" si="0"/>
        <v>0.8083421809802821</v>
      </c>
      <c r="B15" s="55"/>
      <c r="C15" s="53" t="s">
        <v>55</v>
      </c>
      <c r="D15" s="63" t="s">
        <v>56</v>
      </c>
      <c r="E15" s="53" t="s">
        <v>57</v>
      </c>
      <c r="F15" s="53" t="s">
        <v>58</v>
      </c>
      <c r="G15" s="62">
        <v>1977</v>
      </c>
      <c r="H15" s="53" t="s">
        <v>59</v>
      </c>
      <c r="I15" s="53" t="s">
        <v>60</v>
      </c>
      <c r="J15" s="53">
        <v>100</v>
      </c>
      <c r="K15" s="63" t="s">
        <v>56</v>
      </c>
    </row>
    <row r="16" spans="1:1024" s="53" customFormat="1" ht="15" x14ac:dyDescent="0.3">
      <c r="A16" s="55">
        <f t="shared" ca="1" si="0"/>
        <v>0.74316683502483372</v>
      </c>
      <c r="B16" s="55"/>
      <c r="C16" s="53" t="s">
        <v>30</v>
      </c>
      <c r="D16" s="61" t="s">
        <v>61</v>
      </c>
      <c r="E16" s="59" t="s">
        <v>62</v>
      </c>
      <c r="F16" s="59"/>
      <c r="G16" s="62">
        <v>1966</v>
      </c>
      <c r="H16" s="59" t="s">
        <v>12</v>
      </c>
      <c r="I16" s="59" t="s">
        <v>63</v>
      </c>
      <c r="J16" s="59">
        <v>100</v>
      </c>
      <c r="K16" s="61" t="s">
        <v>61</v>
      </c>
    </row>
    <row r="17" spans="1:29" s="53" customFormat="1" ht="15" x14ac:dyDescent="0.3">
      <c r="A17" s="55">
        <f t="shared" ca="1" si="0"/>
        <v>0.9877987766668026</v>
      </c>
      <c r="B17" s="55"/>
      <c r="C17" s="53" t="s">
        <v>10</v>
      </c>
      <c r="D17" s="63" t="s">
        <v>85</v>
      </c>
      <c r="E17" s="53" t="s">
        <v>86</v>
      </c>
      <c r="G17" s="62">
        <v>2011</v>
      </c>
      <c r="H17" s="53" t="s">
        <v>20</v>
      </c>
      <c r="I17" s="53" t="s">
        <v>88</v>
      </c>
      <c r="J17" s="53">
        <v>160</v>
      </c>
      <c r="K17" s="63" t="s">
        <v>85</v>
      </c>
    </row>
    <row r="18" spans="1:29" s="53" customFormat="1" ht="15" x14ac:dyDescent="0.3">
      <c r="A18" s="55">
        <f t="shared" ca="1" si="0"/>
        <v>0.92569413318797145</v>
      </c>
      <c r="B18" s="55"/>
      <c r="C18" s="53" t="s">
        <v>46</v>
      </c>
      <c r="D18" s="63" t="s">
        <v>89</v>
      </c>
      <c r="E18" s="59" t="s">
        <v>90</v>
      </c>
      <c r="G18" s="62">
        <v>1968</v>
      </c>
      <c r="H18" s="53" t="s">
        <v>63</v>
      </c>
      <c r="J18" s="53">
        <v>100</v>
      </c>
      <c r="K18" s="63" t="s">
        <v>89</v>
      </c>
    </row>
    <row r="19" spans="1:29" s="53" customFormat="1" ht="15" x14ac:dyDescent="0.3">
      <c r="A19" s="55">
        <f t="shared" ca="1" si="0"/>
        <v>0.23174324761664322</v>
      </c>
      <c r="B19" s="55"/>
      <c r="D19" s="65" t="s">
        <v>535</v>
      </c>
      <c r="E19" s="53" t="s">
        <v>536</v>
      </c>
      <c r="G19" s="62">
        <v>2019</v>
      </c>
      <c r="H19" s="53" t="s">
        <v>69</v>
      </c>
      <c r="I19" s="53" t="s">
        <v>76</v>
      </c>
      <c r="J19" s="53">
        <v>160</v>
      </c>
      <c r="K19" s="65" t="s">
        <v>535</v>
      </c>
    </row>
    <row r="20" spans="1:29" s="53" customFormat="1" ht="15" x14ac:dyDescent="0.3">
      <c r="A20" s="55">
        <f t="shared" ca="1" si="0"/>
        <v>0.4625663871801835</v>
      </c>
      <c r="B20" s="55"/>
      <c r="C20" s="53" t="s">
        <v>37</v>
      </c>
      <c r="D20" s="65" t="s">
        <v>91</v>
      </c>
      <c r="E20" s="53" t="s">
        <v>571</v>
      </c>
      <c r="F20" s="53" t="s">
        <v>92</v>
      </c>
      <c r="G20" s="62">
        <v>1962</v>
      </c>
      <c r="H20" s="53" t="s">
        <v>63</v>
      </c>
      <c r="J20" s="53">
        <v>80</v>
      </c>
      <c r="K20" s="65" t="s">
        <v>91</v>
      </c>
    </row>
    <row r="21" spans="1:29" s="53" customFormat="1" ht="15" x14ac:dyDescent="0.3">
      <c r="A21" s="55">
        <f t="shared" ca="1" si="0"/>
        <v>0.47303473612802216</v>
      </c>
      <c r="B21" s="55" t="s">
        <v>1</v>
      </c>
      <c r="C21" s="53" t="s">
        <v>14</v>
      </c>
      <c r="D21" s="65" t="s">
        <v>580</v>
      </c>
      <c r="E21" s="53" t="s">
        <v>581</v>
      </c>
      <c r="G21" s="62">
        <v>1972</v>
      </c>
      <c r="H21" s="53" t="s">
        <v>12</v>
      </c>
      <c r="I21" s="53" t="s">
        <v>261</v>
      </c>
      <c r="J21" s="53">
        <v>140</v>
      </c>
      <c r="K21" s="65" t="s">
        <v>580</v>
      </c>
    </row>
    <row r="22" spans="1:29" s="53" customFormat="1" ht="15" x14ac:dyDescent="0.3">
      <c r="A22" s="55">
        <f t="shared" ca="1" si="0"/>
        <v>0.37361948723895688</v>
      </c>
      <c r="B22" s="55" t="s">
        <v>1</v>
      </c>
      <c r="C22" s="53" t="s">
        <v>94</v>
      </c>
      <c r="D22" s="63" t="s">
        <v>95</v>
      </c>
      <c r="E22" s="59" t="s">
        <v>96</v>
      </c>
      <c r="G22" s="62">
        <v>1947</v>
      </c>
      <c r="H22" s="53" t="s">
        <v>97</v>
      </c>
      <c r="J22" s="53">
        <v>110</v>
      </c>
      <c r="K22" s="65" t="s">
        <v>95</v>
      </c>
    </row>
    <row r="23" spans="1:29" s="53" customFormat="1" ht="15" x14ac:dyDescent="0.3">
      <c r="A23" s="55">
        <f t="shared" ca="1" si="0"/>
        <v>0.78475559447924248</v>
      </c>
      <c r="B23" s="55" t="s">
        <v>1</v>
      </c>
      <c r="C23" s="53" t="s">
        <v>37</v>
      </c>
      <c r="D23" s="63" t="s">
        <v>98</v>
      </c>
      <c r="E23" s="53" t="s">
        <v>99</v>
      </c>
      <c r="G23" s="62">
        <v>1995</v>
      </c>
      <c r="H23" s="53" t="s">
        <v>12</v>
      </c>
      <c r="I23" s="53" t="s">
        <v>29</v>
      </c>
      <c r="J23" s="53">
        <v>115</v>
      </c>
      <c r="K23" s="63" t="s">
        <v>98</v>
      </c>
    </row>
    <row r="24" spans="1:29" ht="15" x14ac:dyDescent="0.3">
      <c r="A24" s="55">
        <f t="shared" ca="1" si="0"/>
        <v>2.4338178798520849E-3</v>
      </c>
      <c r="B24" s="68"/>
      <c r="C24" s="54" t="s">
        <v>46</v>
      </c>
      <c r="D24" s="63" t="s">
        <v>100</v>
      </c>
      <c r="E24" s="54" t="s">
        <v>101</v>
      </c>
      <c r="G24" s="69">
        <v>1967</v>
      </c>
      <c r="H24" s="54" t="s">
        <v>12</v>
      </c>
      <c r="J24" s="54">
        <v>150</v>
      </c>
      <c r="K24" s="65" t="s">
        <v>100</v>
      </c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</row>
    <row r="25" spans="1:29" ht="15" x14ac:dyDescent="0.3">
      <c r="A25" s="55">
        <f t="shared" ca="1" si="0"/>
        <v>0.90966384293892921</v>
      </c>
      <c r="B25" s="55"/>
      <c r="C25" s="53" t="s">
        <v>14</v>
      </c>
      <c r="D25" s="63" t="s">
        <v>102</v>
      </c>
      <c r="E25" s="53" t="s">
        <v>103</v>
      </c>
      <c r="F25" s="53"/>
      <c r="G25" s="62">
        <v>2013</v>
      </c>
      <c r="H25" s="53" t="s">
        <v>12</v>
      </c>
      <c r="I25" s="53" t="s">
        <v>63</v>
      </c>
      <c r="J25" s="53">
        <v>120</v>
      </c>
      <c r="K25" s="65" t="s">
        <v>102</v>
      </c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</row>
    <row r="26" spans="1:29" ht="15" x14ac:dyDescent="0.3">
      <c r="A26" s="55">
        <f t="shared" ca="1" si="0"/>
        <v>0.44947691501247311</v>
      </c>
      <c r="B26" s="55"/>
      <c r="C26" s="53" t="s">
        <v>105</v>
      </c>
      <c r="D26" s="63" t="s">
        <v>106</v>
      </c>
      <c r="E26" s="53" t="s">
        <v>107</v>
      </c>
      <c r="F26" s="53"/>
      <c r="G26" s="62">
        <v>2008</v>
      </c>
      <c r="H26" s="53" t="s">
        <v>13</v>
      </c>
      <c r="I26" s="53"/>
      <c r="J26" s="53">
        <v>120</v>
      </c>
      <c r="K26" s="63" t="s">
        <v>106</v>
      </c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</row>
    <row r="27" spans="1:29" ht="15" x14ac:dyDescent="0.3">
      <c r="A27" s="55">
        <f t="shared" ca="1" si="0"/>
        <v>0.95274882880984535</v>
      </c>
      <c r="B27" s="55"/>
      <c r="C27" s="53" t="s">
        <v>46</v>
      </c>
      <c r="D27" s="63" t="s">
        <v>108</v>
      </c>
      <c r="E27" s="53" t="s">
        <v>39</v>
      </c>
      <c r="F27" s="53"/>
      <c r="G27" s="62">
        <v>1957</v>
      </c>
      <c r="H27" s="53" t="s">
        <v>49</v>
      </c>
      <c r="I27" s="53" t="s">
        <v>12</v>
      </c>
      <c r="J27" s="53">
        <v>170</v>
      </c>
      <c r="K27" s="63" t="s">
        <v>108</v>
      </c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</row>
    <row r="28" spans="1:29" ht="15" x14ac:dyDescent="0.3">
      <c r="A28" s="55">
        <f t="shared" ca="1" si="0"/>
        <v>0.2865981904324082</v>
      </c>
      <c r="B28" s="55" t="s">
        <v>1</v>
      </c>
      <c r="C28" s="53"/>
      <c r="D28" s="63" t="s">
        <v>546</v>
      </c>
      <c r="E28" s="59" t="s">
        <v>326</v>
      </c>
      <c r="F28" s="53"/>
      <c r="G28" s="62">
        <v>1959</v>
      </c>
      <c r="H28" s="53" t="s">
        <v>13</v>
      </c>
      <c r="I28" s="53"/>
      <c r="J28" s="53">
        <v>140</v>
      </c>
      <c r="K28" s="65" t="s">
        <v>546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</row>
    <row r="29" spans="1:29" ht="15" x14ac:dyDescent="0.3">
      <c r="A29" s="55">
        <f t="shared" ca="1" si="0"/>
        <v>0.52360260833380257</v>
      </c>
      <c r="B29" s="55"/>
      <c r="C29" s="53" t="s">
        <v>77</v>
      </c>
      <c r="D29" s="63" t="s">
        <v>109</v>
      </c>
      <c r="E29" s="53" t="s">
        <v>110</v>
      </c>
      <c r="F29" s="53"/>
      <c r="G29" s="62">
        <v>1999</v>
      </c>
      <c r="H29" s="53" t="s">
        <v>29</v>
      </c>
      <c r="I29" s="53"/>
      <c r="J29" s="53">
        <v>90</v>
      </c>
      <c r="K29" s="65" t="s">
        <v>109</v>
      </c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</row>
    <row r="30" spans="1:29" ht="15" x14ac:dyDescent="0.3">
      <c r="A30" s="55">
        <f t="shared" ca="1" si="0"/>
        <v>0.76350061273281089</v>
      </c>
      <c r="B30" s="55"/>
      <c r="C30" s="53" t="s">
        <v>37</v>
      </c>
      <c r="D30" s="63" t="s">
        <v>111</v>
      </c>
      <c r="E30" s="53" t="s">
        <v>104</v>
      </c>
      <c r="F30" s="53"/>
      <c r="G30" s="62">
        <v>1961</v>
      </c>
      <c r="H30" s="53" t="s">
        <v>12</v>
      </c>
      <c r="I30" s="53" t="s">
        <v>33</v>
      </c>
      <c r="J30" s="53">
        <v>40</v>
      </c>
      <c r="K30" s="63" t="s">
        <v>111</v>
      </c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</row>
    <row r="31" spans="1:29" ht="15" x14ac:dyDescent="0.3">
      <c r="A31" s="55">
        <f t="shared" ca="1" si="0"/>
        <v>0.71882194608018846</v>
      </c>
      <c r="B31" s="55"/>
      <c r="C31" s="53" t="s">
        <v>17</v>
      </c>
      <c r="D31" s="63" t="s">
        <v>112</v>
      </c>
      <c r="E31" s="53" t="s">
        <v>113</v>
      </c>
      <c r="F31" s="53"/>
      <c r="G31" s="62">
        <v>1984</v>
      </c>
      <c r="H31" s="53" t="s">
        <v>13</v>
      </c>
      <c r="I31" s="53"/>
      <c r="J31" s="53">
        <v>90</v>
      </c>
      <c r="K31" s="63" t="s">
        <v>112</v>
      </c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</row>
    <row r="32" spans="1:29" ht="15" x14ac:dyDescent="0.3">
      <c r="A32" s="55">
        <f t="shared" ca="1" si="0"/>
        <v>2.3050649034377813E-2</v>
      </c>
      <c r="B32" s="55"/>
      <c r="C32" s="53" t="s">
        <v>93</v>
      </c>
      <c r="D32" s="63" t="s">
        <v>114</v>
      </c>
      <c r="E32" s="53" t="s">
        <v>11</v>
      </c>
      <c r="F32" s="53"/>
      <c r="G32" s="62">
        <v>2008</v>
      </c>
      <c r="H32" s="53" t="s">
        <v>12</v>
      </c>
      <c r="I32" s="53" t="s">
        <v>63</v>
      </c>
      <c r="J32" s="53">
        <v>95</v>
      </c>
      <c r="K32" s="63" t="s">
        <v>114</v>
      </c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</row>
    <row r="33" spans="1:29" ht="15" x14ac:dyDescent="0.3">
      <c r="A33" s="55">
        <f t="shared" ca="1" si="0"/>
        <v>0.89729296543826698</v>
      </c>
      <c r="B33" s="55" t="s">
        <v>1</v>
      </c>
      <c r="C33" s="53" t="s">
        <v>94</v>
      </c>
      <c r="D33" s="63" t="s">
        <v>572</v>
      </c>
      <c r="E33" s="53" t="s">
        <v>115</v>
      </c>
      <c r="F33" s="53"/>
      <c r="G33" s="62">
        <v>2007</v>
      </c>
      <c r="H33" s="53" t="s">
        <v>13</v>
      </c>
      <c r="I33" s="53"/>
      <c r="J33" s="53">
        <v>85</v>
      </c>
      <c r="K33" s="63" t="s">
        <v>572</v>
      </c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</row>
    <row r="34" spans="1:29" ht="15" x14ac:dyDescent="0.3">
      <c r="A34" s="55">
        <f t="shared" ca="1" si="0"/>
        <v>0.64450656135742768</v>
      </c>
      <c r="B34" s="55" t="s">
        <v>1</v>
      </c>
      <c r="C34" s="53" t="s">
        <v>77</v>
      </c>
      <c r="D34" s="63" t="s">
        <v>116</v>
      </c>
      <c r="E34" s="53" t="s">
        <v>117</v>
      </c>
      <c r="F34" s="53"/>
      <c r="G34" s="62">
        <v>2017</v>
      </c>
      <c r="H34" s="53" t="s">
        <v>118</v>
      </c>
      <c r="I34" s="53"/>
      <c r="J34" s="53">
        <v>100</v>
      </c>
      <c r="K34" s="65" t="s">
        <v>116</v>
      </c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</row>
    <row r="35" spans="1:29" ht="15" x14ac:dyDescent="0.3">
      <c r="A35" s="55">
        <f t="shared" ca="1" si="0"/>
        <v>0.83584534045287306</v>
      </c>
      <c r="B35" s="55"/>
      <c r="C35" s="53" t="s">
        <v>46</v>
      </c>
      <c r="D35" s="63" t="s">
        <v>574</v>
      </c>
      <c r="E35" s="53" t="s">
        <v>28</v>
      </c>
      <c r="F35" s="53"/>
      <c r="G35" s="62">
        <v>2002</v>
      </c>
      <c r="H35" s="53" t="s">
        <v>12</v>
      </c>
      <c r="I35" s="53" t="s">
        <v>29</v>
      </c>
      <c r="J35" s="53">
        <v>130</v>
      </c>
      <c r="K35" s="63" t="s">
        <v>574</v>
      </c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</row>
    <row r="36" spans="1:29" ht="15" x14ac:dyDescent="0.3">
      <c r="A36" s="55">
        <f t="shared" ca="1" si="0"/>
        <v>6.0624895969352166E-2</v>
      </c>
      <c r="B36" s="55"/>
      <c r="C36" s="53" t="s">
        <v>14</v>
      </c>
      <c r="D36" s="63" t="s">
        <v>119</v>
      </c>
      <c r="E36" s="53" t="s">
        <v>120</v>
      </c>
      <c r="F36" s="53"/>
      <c r="G36" s="62">
        <v>1998</v>
      </c>
      <c r="H36" s="53" t="s">
        <v>12</v>
      </c>
      <c r="I36" s="53"/>
      <c r="J36" s="53">
        <v>100</v>
      </c>
      <c r="K36" s="63" t="s">
        <v>119</v>
      </c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</row>
    <row r="37" spans="1:29" ht="15" x14ac:dyDescent="0.3">
      <c r="A37" s="55">
        <f t="shared" ca="1" si="0"/>
        <v>0.36658230705689809</v>
      </c>
      <c r="B37" s="64"/>
      <c r="C37" s="59"/>
      <c r="D37" s="61" t="s">
        <v>121</v>
      </c>
      <c r="E37" s="59" t="s">
        <v>122</v>
      </c>
      <c r="F37" s="59"/>
      <c r="G37" s="60">
        <v>1999</v>
      </c>
      <c r="H37" s="59" t="s">
        <v>13</v>
      </c>
      <c r="I37" s="59"/>
      <c r="J37" s="59">
        <v>120</v>
      </c>
      <c r="K37" s="61" t="s">
        <v>121</v>
      </c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</row>
    <row r="38" spans="1:29" ht="15" x14ac:dyDescent="0.3">
      <c r="A38" s="55">
        <f t="shared" ca="1" si="0"/>
        <v>0.51157962060829743</v>
      </c>
      <c r="B38" s="55" t="s">
        <v>1</v>
      </c>
      <c r="C38" s="53"/>
      <c r="D38" s="63" t="s">
        <v>123</v>
      </c>
      <c r="E38" s="53" t="s">
        <v>124</v>
      </c>
      <c r="F38" s="53"/>
      <c r="G38" s="62">
        <v>2002</v>
      </c>
      <c r="H38" s="53" t="s">
        <v>13</v>
      </c>
      <c r="I38" s="53" t="s">
        <v>59</v>
      </c>
      <c r="J38" s="53"/>
      <c r="K38" s="63" t="s">
        <v>123</v>
      </c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</row>
    <row r="39" spans="1:29" ht="15" x14ac:dyDescent="0.3">
      <c r="A39" s="55">
        <f t="shared" ca="1" si="0"/>
        <v>0.3844471297687535</v>
      </c>
      <c r="B39" s="55"/>
      <c r="C39" s="53"/>
      <c r="D39" s="63" t="s">
        <v>125</v>
      </c>
      <c r="E39" s="53" t="s">
        <v>126</v>
      </c>
      <c r="F39" s="53"/>
      <c r="G39" s="62">
        <v>2010</v>
      </c>
      <c r="H39" s="53" t="s">
        <v>13</v>
      </c>
      <c r="I39" s="53"/>
      <c r="J39" s="53">
        <v>110</v>
      </c>
      <c r="K39" s="63" t="s">
        <v>125</v>
      </c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</row>
    <row r="40" spans="1:29" ht="15" x14ac:dyDescent="0.3">
      <c r="A40" s="55">
        <f t="shared" ca="1" si="0"/>
        <v>0.76468641302484541</v>
      </c>
      <c r="B40" s="55"/>
      <c r="C40" s="53"/>
      <c r="D40" s="63" t="s">
        <v>128</v>
      </c>
      <c r="E40" s="53" t="s">
        <v>53</v>
      </c>
      <c r="F40" s="53"/>
      <c r="G40" s="62">
        <v>1971</v>
      </c>
      <c r="H40" s="53" t="s">
        <v>49</v>
      </c>
      <c r="I40" s="53"/>
      <c r="J40" s="53">
        <v>100</v>
      </c>
      <c r="K40" s="63" t="s">
        <v>128</v>
      </c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</row>
    <row r="41" spans="1:29" ht="15" x14ac:dyDescent="0.3">
      <c r="A41" s="55">
        <f t="shared" ca="1" si="0"/>
        <v>0.98522209181913156</v>
      </c>
      <c r="B41" s="64"/>
      <c r="C41" s="59" t="s">
        <v>55</v>
      </c>
      <c r="D41" s="61" t="s">
        <v>129</v>
      </c>
      <c r="E41" s="59" t="s">
        <v>130</v>
      </c>
      <c r="F41" s="59"/>
      <c r="G41" s="60">
        <v>2006</v>
      </c>
      <c r="H41" s="59" t="s">
        <v>76</v>
      </c>
      <c r="I41" s="59"/>
      <c r="J41" s="59">
        <v>110</v>
      </c>
      <c r="K41" s="61" t="s">
        <v>129</v>
      </c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</row>
    <row r="42" spans="1:29" ht="15" x14ac:dyDescent="0.3">
      <c r="A42" s="55">
        <f t="shared" ca="1" si="0"/>
        <v>0.20241053969331668</v>
      </c>
      <c r="B42" s="55"/>
      <c r="C42" s="53" t="s">
        <v>37</v>
      </c>
      <c r="D42" s="63" t="s">
        <v>131</v>
      </c>
      <c r="E42" s="53" t="s">
        <v>132</v>
      </c>
      <c r="F42" s="53"/>
      <c r="G42" s="62">
        <v>1979</v>
      </c>
      <c r="H42" s="53" t="s">
        <v>12</v>
      </c>
      <c r="I42" s="53"/>
      <c r="J42" s="53">
        <v>150</v>
      </c>
      <c r="K42" s="63" t="s">
        <v>131</v>
      </c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</row>
    <row r="43" spans="1:29" s="53" customFormat="1" ht="15" x14ac:dyDescent="0.3">
      <c r="A43" s="55">
        <f t="shared" ca="1" si="0"/>
        <v>0.91907320849383867</v>
      </c>
      <c r="B43" s="55"/>
      <c r="C43" s="53" t="s">
        <v>93</v>
      </c>
      <c r="D43" s="63" t="s">
        <v>135</v>
      </c>
      <c r="E43" s="53" t="s">
        <v>136</v>
      </c>
      <c r="G43" s="62">
        <v>1999</v>
      </c>
      <c r="H43" s="53" t="s">
        <v>13</v>
      </c>
      <c r="J43" s="53">
        <v>130</v>
      </c>
      <c r="K43" s="63" t="s">
        <v>135</v>
      </c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</row>
    <row r="44" spans="1:29" s="53" customFormat="1" ht="15" x14ac:dyDescent="0.3">
      <c r="A44" s="55">
        <f t="shared" ca="1" si="0"/>
        <v>0.7579929535794413</v>
      </c>
      <c r="B44" s="55" t="s">
        <v>1</v>
      </c>
      <c r="D44" s="61" t="s">
        <v>137</v>
      </c>
      <c r="E44" s="53" t="s">
        <v>138</v>
      </c>
      <c r="G44" s="62">
        <v>1976</v>
      </c>
      <c r="H44" s="53" t="s">
        <v>13</v>
      </c>
      <c r="K44" s="61" t="s">
        <v>137</v>
      </c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</row>
    <row r="45" spans="1:29" s="53" customFormat="1" ht="15" x14ac:dyDescent="0.3">
      <c r="A45" s="55">
        <f t="shared" ca="1" si="0"/>
        <v>0.72415678089818925</v>
      </c>
      <c r="B45" s="55"/>
      <c r="C45" s="53" t="s">
        <v>37</v>
      </c>
      <c r="D45" s="63" t="s">
        <v>139</v>
      </c>
      <c r="E45" s="53" t="s">
        <v>140</v>
      </c>
      <c r="G45" s="62">
        <v>2004</v>
      </c>
      <c r="H45" s="53" t="s">
        <v>12</v>
      </c>
      <c r="I45" s="53" t="s">
        <v>141</v>
      </c>
      <c r="J45" s="53">
        <v>45</v>
      </c>
      <c r="K45" s="63" t="s">
        <v>139</v>
      </c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</row>
    <row r="46" spans="1:29" ht="15" x14ac:dyDescent="0.3">
      <c r="A46" s="55">
        <f t="shared" ca="1" si="0"/>
        <v>0.63712408030952039</v>
      </c>
      <c r="B46" s="55"/>
      <c r="C46" s="53" t="s">
        <v>46</v>
      </c>
      <c r="D46" s="63" t="s">
        <v>568</v>
      </c>
      <c r="E46" s="53" t="s">
        <v>143</v>
      </c>
      <c r="F46" s="53"/>
      <c r="G46" s="62">
        <v>2007</v>
      </c>
      <c r="H46" s="53" t="s">
        <v>63</v>
      </c>
      <c r="I46" s="53" t="s">
        <v>12</v>
      </c>
      <c r="J46" s="53">
        <v>125</v>
      </c>
      <c r="K46" s="63" t="s">
        <v>142</v>
      </c>
    </row>
    <row r="47" spans="1:29" ht="15" x14ac:dyDescent="0.3">
      <c r="A47" s="55">
        <f t="shared" ca="1" si="0"/>
        <v>0.97256984013127135</v>
      </c>
      <c r="B47" s="55"/>
      <c r="C47" s="53" t="s">
        <v>148</v>
      </c>
      <c r="D47" s="63" t="s">
        <v>149</v>
      </c>
      <c r="E47" s="53" t="s">
        <v>124</v>
      </c>
      <c r="F47" s="53" t="s">
        <v>150</v>
      </c>
      <c r="G47" s="62">
        <v>2002</v>
      </c>
      <c r="H47" s="53" t="s">
        <v>13</v>
      </c>
      <c r="I47" s="53" t="s">
        <v>59</v>
      </c>
      <c r="J47" s="53">
        <v>85</v>
      </c>
      <c r="K47" s="63" t="s">
        <v>149</v>
      </c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</row>
    <row r="48" spans="1:29" ht="15" x14ac:dyDescent="0.3">
      <c r="A48" s="55">
        <f t="shared" ca="1" si="0"/>
        <v>0.88607605812962575</v>
      </c>
      <c r="B48" s="55" t="s">
        <v>1</v>
      </c>
      <c r="C48" s="53" t="s">
        <v>10</v>
      </c>
      <c r="D48" s="63" t="s">
        <v>151</v>
      </c>
      <c r="E48" s="53" t="s">
        <v>127</v>
      </c>
      <c r="F48" s="53"/>
      <c r="G48" s="62">
        <v>1972</v>
      </c>
      <c r="H48" s="53" t="s">
        <v>12</v>
      </c>
      <c r="I48" s="53" t="s">
        <v>63</v>
      </c>
      <c r="J48" s="53">
        <v>90</v>
      </c>
      <c r="K48" s="63" t="s">
        <v>151</v>
      </c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</row>
    <row r="49" spans="1:29" ht="15" x14ac:dyDescent="0.3">
      <c r="A49" s="55">
        <f t="shared" ca="1" si="0"/>
        <v>0.42362173848784757</v>
      </c>
      <c r="B49" s="55"/>
      <c r="C49" s="53"/>
      <c r="D49" s="63" t="s">
        <v>152</v>
      </c>
      <c r="E49" s="53" t="s">
        <v>153</v>
      </c>
      <c r="F49" s="53"/>
      <c r="G49" s="62">
        <v>1995</v>
      </c>
      <c r="H49" s="53" t="s">
        <v>13</v>
      </c>
      <c r="I49" s="53" t="s">
        <v>154</v>
      </c>
      <c r="J49" s="53">
        <v>95</v>
      </c>
      <c r="K49" s="63" t="s">
        <v>152</v>
      </c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</row>
    <row r="50" spans="1:29" ht="15" x14ac:dyDescent="0.3">
      <c r="A50" s="55">
        <f t="shared" ca="1" si="0"/>
        <v>0.97457589779117237</v>
      </c>
      <c r="B50" s="55"/>
      <c r="C50" s="53" t="s">
        <v>37</v>
      </c>
      <c r="D50" s="63" t="s">
        <v>155</v>
      </c>
      <c r="E50" s="53" t="s">
        <v>132</v>
      </c>
      <c r="F50" s="53"/>
      <c r="G50" s="62">
        <v>1979</v>
      </c>
      <c r="H50" s="53" t="s">
        <v>12</v>
      </c>
      <c r="I50" s="53" t="s">
        <v>156</v>
      </c>
      <c r="J50" s="53">
        <v>130</v>
      </c>
      <c r="K50" s="63" t="s">
        <v>155</v>
      </c>
    </row>
    <row r="51" spans="1:29" ht="15" x14ac:dyDescent="0.3">
      <c r="A51" s="55">
        <f t="shared" ca="1" si="0"/>
        <v>0.45637409571289189</v>
      </c>
      <c r="B51" s="55" t="s">
        <v>1</v>
      </c>
      <c r="C51" s="53" t="s">
        <v>14</v>
      </c>
      <c r="D51" s="63" t="s">
        <v>157</v>
      </c>
      <c r="E51" s="53" t="s">
        <v>158</v>
      </c>
      <c r="F51" s="53"/>
      <c r="G51" s="62">
        <v>2005</v>
      </c>
      <c r="H51" s="53" t="s">
        <v>13</v>
      </c>
      <c r="I51" s="53" t="s">
        <v>63</v>
      </c>
      <c r="J51" s="53">
        <v>70</v>
      </c>
      <c r="K51" s="63" t="s">
        <v>157</v>
      </c>
    </row>
    <row r="52" spans="1:29" ht="15" x14ac:dyDescent="0.3">
      <c r="A52" s="55">
        <f t="shared" ca="1" si="0"/>
        <v>0.56002978304067208</v>
      </c>
      <c r="B52" s="55"/>
      <c r="C52" s="53"/>
      <c r="D52" s="63" t="s">
        <v>159</v>
      </c>
      <c r="E52" s="53" t="s">
        <v>65</v>
      </c>
      <c r="F52" s="53" t="s">
        <v>160</v>
      </c>
      <c r="G52" s="62">
        <v>2002</v>
      </c>
      <c r="H52" s="53" t="s">
        <v>59</v>
      </c>
      <c r="I52" s="53"/>
      <c r="J52" s="53">
        <v>100</v>
      </c>
      <c r="K52" s="63" t="s">
        <v>159</v>
      </c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</row>
    <row r="53" spans="1:29" ht="15" x14ac:dyDescent="0.3">
      <c r="A53" s="55">
        <f t="shared" ca="1" si="0"/>
        <v>0.98654226481720475</v>
      </c>
      <c r="B53" s="55"/>
      <c r="C53" s="53" t="s">
        <v>10</v>
      </c>
      <c r="D53" s="63" t="s">
        <v>161</v>
      </c>
      <c r="E53" s="53" t="s">
        <v>162</v>
      </c>
      <c r="F53" s="53"/>
      <c r="G53" s="62">
        <v>2000</v>
      </c>
      <c r="H53" s="53" t="s">
        <v>12</v>
      </c>
      <c r="I53" s="53" t="s">
        <v>29</v>
      </c>
      <c r="J53" s="53">
        <v>105</v>
      </c>
      <c r="K53" s="63" t="s">
        <v>161</v>
      </c>
    </row>
    <row r="54" spans="1:29" ht="15" x14ac:dyDescent="0.3">
      <c r="A54" s="55">
        <f t="shared" ca="1" si="0"/>
        <v>0.36395672755174979</v>
      </c>
      <c r="B54" s="55"/>
      <c r="C54" s="53" t="s">
        <v>93</v>
      </c>
      <c r="D54" s="63" t="s">
        <v>163</v>
      </c>
      <c r="E54" s="53" t="s">
        <v>164</v>
      </c>
      <c r="F54" s="53"/>
      <c r="G54" s="62">
        <v>1978</v>
      </c>
      <c r="H54" s="53" t="s">
        <v>12</v>
      </c>
      <c r="I54" s="53" t="s">
        <v>165</v>
      </c>
      <c r="J54" s="53">
        <v>95</v>
      </c>
      <c r="K54" s="63" t="s">
        <v>163</v>
      </c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</row>
    <row r="55" spans="1:29" ht="15" x14ac:dyDescent="0.3">
      <c r="A55" s="55">
        <f t="shared" ca="1" si="0"/>
        <v>0.27294311848366082</v>
      </c>
      <c r="B55" s="55"/>
      <c r="C55" s="53"/>
      <c r="D55" s="63" t="s">
        <v>166</v>
      </c>
      <c r="E55" s="53" t="s">
        <v>167</v>
      </c>
      <c r="F55" s="53" t="s">
        <v>168</v>
      </c>
      <c r="G55" s="62">
        <v>1954</v>
      </c>
      <c r="H55" s="53" t="s">
        <v>69</v>
      </c>
      <c r="I55" s="53" t="s">
        <v>76</v>
      </c>
      <c r="J55" s="53">
        <v>70</v>
      </c>
      <c r="K55" s="63" t="s">
        <v>166</v>
      </c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</row>
    <row r="56" spans="1:29" ht="15" x14ac:dyDescent="0.3">
      <c r="A56" s="55">
        <f t="shared" ca="1" si="0"/>
        <v>0.63858511753727798</v>
      </c>
      <c r="B56" s="55"/>
      <c r="C56" s="53" t="s">
        <v>46</v>
      </c>
      <c r="D56" s="63" t="s">
        <v>169</v>
      </c>
      <c r="E56" s="59" t="s">
        <v>90</v>
      </c>
      <c r="F56" s="53"/>
      <c r="G56" s="62">
        <v>1964</v>
      </c>
      <c r="H56" s="53" t="s">
        <v>12</v>
      </c>
      <c r="I56" s="53"/>
      <c r="J56" s="53">
        <v>145</v>
      </c>
      <c r="K56" s="63" t="s">
        <v>169</v>
      </c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</row>
    <row r="57" spans="1:29" ht="15" x14ac:dyDescent="0.3">
      <c r="A57" s="55">
        <f t="shared" ca="1" si="0"/>
        <v>0.98171743134340561</v>
      </c>
      <c r="B57" s="55"/>
      <c r="C57" s="53" t="s">
        <v>14</v>
      </c>
      <c r="D57" s="63" t="s">
        <v>171</v>
      </c>
      <c r="E57" s="53" t="s">
        <v>172</v>
      </c>
      <c r="F57" s="53"/>
      <c r="G57" s="62">
        <v>1979</v>
      </c>
      <c r="H57" s="53" t="s">
        <v>12</v>
      </c>
      <c r="I57" s="53"/>
      <c r="J57" s="53">
        <v>60</v>
      </c>
      <c r="K57" s="63" t="s">
        <v>171</v>
      </c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</row>
    <row r="58" spans="1:29" ht="15" x14ac:dyDescent="0.3">
      <c r="A58" s="55">
        <f t="shared" ca="1" si="0"/>
        <v>0.33672520388339799</v>
      </c>
      <c r="B58" s="55"/>
      <c r="C58" s="53" t="s">
        <v>14</v>
      </c>
      <c r="D58" s="61" t="s">
        <v>173</v>
      </c>
      <c r="E58" s="59" t="s">
        <v>16</v>
      </c>
      <c r="F58" s="59" t="s">
        <v>174</v>
      </c>
      <c r="G58" s="60">
        <v>1981</v>
      </c>
      <c r="H58" s="59" t="s">
        <v>13</v>
      </c>
      <c r="I58" s="59"/>
      <c r="J58" s="59">
        <v>140</v>
      </c>
      <c r="K58" s="61" t="s">
        <v>173</v>
      </c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 spans="1:29" ht="15" x14ac:dyDescent="0.3">
      <c r="A59" s="55">
        <f t="shared" ca="1" si="0"/>
        <v>0.55523848142419774</v>
      </c>
      <c r="B59" s="55" t="s">
        <v>1</v>
      </c>
      <c r="C59" s="53" t="s">
        <v>37</v>
      </c>
      <c r="D59" s="63" t="s">
        <v>175</v>
      </c>
      <c r="E59" s="53" t="s">
        <v>176</v>
      </c>
      <c r="F59" s="53"/>
      <c r="G59" s="62">
        <v>2006</v>
      </c>
      <c r="H59" s="53" t="s">
        <v>13</v>
      </c>
      <c r="I59" s="53"/>
      <c r="J59" s="53">
        <v>130</v>
      </c>
      <c r="K59" s="63" t="s">
        <v>175</v>
      </c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 spans="1:29" ht="15" x14ac:dyDescent="0.3">
      <c r="A60" s="55">
        <f t="shared" ca="1" si="0"/>
        <v>0.53104635009158641</v>
      </c>
      <c r="B60" s="55"/>
      <c r="C60" s="53" t="s">
        <v>14</v>
      </c>
      <c r="D60" s="61" t="s">
        <v>177</v>
      </c>
      <c r="E60" s="59" t="s">
        <v>178</v>
      </c>
      <c r="F60" s="59"/>
      <c r="G60" s="60">
        <v>1972</v>
      </c>
      <c r="H60" s="59" t="s">
        <v>12</v>
      </c>
      <c r="I60" s="59" t="s">
        <v>33</v>
      </c>
      <c r="J60" s="59">
        <v>85</v>
      </c>
      <c r="K60" s="61" t="s">
        <v>177</v>
      </c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 spans="1:29" ht="15" x14ac:dyDescent="0.3">
      <c r="A61" s="55">
        <f t="shared" ca="1" si="0"/>
        <v>0.4188600958541292</v>
      </c>
      <c r="B61" s="55"/>
      <c r="C61" s="53" t="s">
        <v>46</v>
      </c>
      <c r="D61" s="63" t="s">
        <v>179</v>
      </c>
      <c r="E61" s="53" t="s">
        <v>113</v>
      </c>
      <c r="F61" s="53"/>
      <c r="G61" s="62">
        <v>1987</v>
      </c>
      <c r="H61" s="53" t="s">
        <v>12</v>
      </c>
      <c r="I61" s="53" t="s">
        <v>13</v>
      </c>
      <c r="J61" s="53">
        <v>95</v>
      </c>
      <c r="K61" s="63" t="s">
        <v>179</v>
      </c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</row>
    <row r="62" spans="1:29" ht="15" x14ac:dyDescent="0.3">
      <c r="A62" s="55">
        <f t="shared" ca="1" si="0"/>
        <v>0.74213173346213579</v>
      </c>
      <c r="B62" s="55"/>
      <c r="C62" s="53"/>
      <c r="D62" s="63" t="s">
        <v>180</v>
      </c>
      <c r="E62" s="53" t="s">
        <v>65</v>
      </c>
      <c r="F62" s="53"/>
      <c r="G62" s="62">
        <v>2002</v>
      </c>
      <c r="H62" s="54" t="s">
        <v>63</v>
      </c>
      <c r="J62" s="54">
        <v>80</v>
      </c>
      <c r="K62" s="63" t="s">
        <v>180</v>
      </c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</row>
    <row r="63" spans="1:29" ht="15" x14ac:dyDescent="0.3">
      <c r="A63" s="55">
        <f t="shared" ca="1" si="0"/>
        <v>0.17739645590140463</v>
      </c>
      <c r="B63" s="55" t="s">
        <v>1</v>
      </c>
      <c r="C63" s="53" t="s">
        <v>93</v>
      </c>
      <c r="D63" s="63" t="s">
        <v>181</v>
      </c>
      <c r="E63" s="53" t="s">
        <v>127</v>
      </c>
      <c r="F63" s="53"/>
      <c r="G63" s="62">
        <v>1970</v>
      </c>
      <c r="H63" s="53" t="s">
        <v>12</v>
      </c>
      <c r="I63" s="53" t="s">
        <v>182</v>
      </c>
      <c r="J63" s="53">
        <v>80</v>
      </c>
      <c r="K63" s="63" t="s">
        <v>181</v>
      </c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</row>
    <row r="64" spans="1:29" ht="15" x14ac:dyDescent="0.3">
      <c r="A64" s="55">
        <f t="shared" ca="1" si="0"/>
        <v>0.1405111722191138</v>
      </c>
      <c r="B64" s="55" t="s">
        <v>1</v>
      </c>
      <c r="C64" s="53"/>
      <c r="D64" s="63" t="s">
        <v>183</v>
      </c>
      <c r="E64" s="53" t="s">
        <v>184</v>
      </c>
      <c r="F64" s="53"/>
      <c r="G64" s="62">
        <v>2009</v>
      </c>
      <c r="H64" s="53" t="s">
        <v>13</v>
      </c>
      <c r="I64" s="53" t="s">
        <v>185</v>
      </c>
      <c r="J64" s="53">
        <v>90</v>
      </c>
      <c r="K64" s="63" t="s">
        <v>183</v>
      </c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</row>
    <row r="65" spans="1:29" ht="15" x14ac:dyDescent="0.3">
      <c r="A65" s="55">
        <f t="shared" ca="1" si="0"/>
        <v>0.79063473987263599</v>
      </c>
      <c r="B65" s="64"/>
      <c r="C65" s="59"/>
      <c r="D65" s="61" t="s">
        <v>186</v>
      </c>
      <c r="E65" s="59" t="s">
        <v>187</v>
      </c>
      <c r="F65" s="59"/>
      <c r="G65" s="60">
        <v>2005</v>
      </c>
      <c r="H65" s="59" t="s">
        <v>63</v>
      </c>
      <c r="I65" s="59" t="s">
        <v>43</v>
      </c>
      <c r="J65" s="59">
        <v>100</v>
      </c>
      <c r="K65" s="61" t="s">
        <v>186</v>
      </c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</row>
    <row r="66" spans="1:29" ht="15" x14ac:dyDescent="0.3">
      <c r="A66" s="55">
        <f t="shared" ref="A66:A129" ca="1" si="1">RAND()</f>
        <v>0.72587768133425612</v>
      </c>
      <c r="B66" s="64"/>
      <c r="C66" s="59" t="s">
        <v>94</v>
      </c>
      <c r="D66" s="61" t="s">
        <v>188</v>
      </c>
      <c r="E66" s="53" t="s">
        <v>571</v>
      </c>
      <c r="F66" s="59"/>
      <c r="G66" s="60">
        <v>1962</v>
      </c>
      <c r="H66" s="59" t="s">
        <v>63</v>
      </c>
      <c r="I66" s="59" t="s">
        <v>49</v>
      </c>
      <c r="J66" s="59">
        <v>60</v>
      </c>
      <c r="K66" s="61" t="s">
        <v>188</v>
      </c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</row>
    <row r="67" spans="1:29" ht="15" x14ac:dyDescent="0.3">
      <c r="A67" s="55">
        <f t="shared" ca="1" si="1"/>
        <v>0.92777294448638115</v>
      </c>
      <c r="B67" s="55"/>
      <c r="C67" s="53"/>
      <c r="D67" s="63" t="s">
        <v>569</v>
      </c>
      <c r="E67" s="53" t="s">
        <v>192</v>
      </c>
      <c r="F67" s="53"/>
      <c r="G67" s="62">
        <v>2008</v>
      </c>
      <c r="H67" s="53" t="s">
        <v>12</v>
      </c>
      <c r="I67" s="53" t="s">
        <v>33</v>
      </c>
      <c r="J67" s="53">
        <v>50</v>
      </c>
      <c r="K67" s="63" t="s">
        <v>191</v>
      </c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</row>
    <row r="68" spans="1:29" ht="15" x14ac:dyDescent="0.3">
      <c r="A68" s="55">
        <f t="shared" ca="1" si="1"/>
        <v>0.96367183011969482</v>
      </c>
      <c r="B68" s="55"/>
      <c r="C68" s="53" t="s">
        <v>77</v>
      </c>
      <c r="D68" s="63" t="s">
        <v>193</v>
      </c>
      <c r="E68" s="53" t="s">
        <v>194</v>
      </c>
      <c r="F68" s="53" t="s">
        <v>195</v>
      </c>
      <c r="G68" s="62">
        <v>1954</v>
      </c>
      <c r="H68" s="53" t="s">
        <v>13</v>
      </c>
      <c r="I68" s="53" t="s">
        <v>196</v>
      </c>
      <c r="J68" s="53">
        <v>130</v>
      </c>
      <c r="K68" s="63" t="s">
        <v>193</v>
      </c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</row>
    <row r="69" spans="1:29" ht="15" x14ac:dyDescent="0.3">
      <c r="A69" s="55">
        <f t="shared" ca="1" si="1"/>
        <v>0.93825749130325142</v>
      </c>
      <c r="B69" s="55"/>
      <c r="C69" s="53"/>
      <c r="D69" s="61" t="s">
        <v>198</v>
      </c>
      <c r="E69" s="59" t="s">
        <v>140</v>
      </c>
      <c r="F69" s="59" t="s">
        <v>199</v>
      </c>
      <c r="G69" s="60">
        <v>1989</v>
      </c>
      <c r="H69" s="59" t="s">
        <v>12</v>
      </c>
      <c r="I69" s="59" t="s">
        <v>200</v>
      </c>
      <c r="J69" s="59">
        <v>90</v>
      </c>
      <c r="K69" s="61" t="s">
        <v>198</v>
      </c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</row>
    <row r="70" spans="1:29" ht="15" x14ac:dyDescent="0.3">
      <c r="A70" s="55">
        <f t="shared" ca="1" si="1"/>
        <v>0.26715903345495495</v>
      </c>
      <c r="B70" s="64" t="s">
        <v>1</v>
      </c>
      <c r="C70" s="59" t="s">
        <v>17</v>
      </c>
      <c r="D70" s="61" t="s">
        <v>205</v>
      </c>
      <c r="E70" s="59" t="s">
        <v>206</v>
      </c>
      <c r="F70" s="59"/>
      <c r="G70" s="60">
        <v>2010</v>
      </c>
      <c r="H70" s="59" t="s">
        <v>118</v>
      </c>
      <c r="I70" s="59"/>
      <c r="J70" s="59">
        <v>125</v>
      </c>
      <c r="K70" s="61" t="s">
        <v>205</v>
      </c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</row>
    <row r="71" spans="1:29" ht="15" x14ac:dyDescent="0.3">
      <c r="A71" s="55">
        <f t="shared" ca="1" si="1"/>
        <v>0.91052623149482192</v>
      </c>
      <c r="B71" s="55"/>
      <c r="C71" s="53"/>
      <c r="D71" s="65" t="s">
        <v>207</v>
      </c>
      <c r="E71" s="53" t="s">
        <v>208</v>
      </c>
      <c r="F71" s="53"/>
      <c r="G71" s="62">
        <v>1997</v>
      </c>
      <c r="H71" s="53" t="s">
        <v>12</v>
      </c>
      <c r="I71" s="53" t="s">
        <v>209</v>
      </c>
      <c r="J71" s="53">
        <v>100</v>
      </c>
      <c r="K71" s="65" t="s">
        <v>207</v>
      </c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</row>
    <row r="72" spans="1:29" ht="15" x14ac:dyDescent="0.3">
      <c r="A72" s="55">
        <f t="shared" ca="1" si="1"/>
        <v>0.64151128783920153</v>
      </c>
      <c r="B72" s="55" t="s">
        <v>1</v>
      </c>
      <c r="C72" s="53" t="s">
        <v>14</v>
      </c>
      <c r="D72" s="61" t="s">
        <v>567</v>
      </c>
      <c r="E72" s="59" t="s">
        <v>16</v>
      </c>
      <c r="F72" s="59"/>
      <c r="G72" s="60">
        <v>2014</v>
      </c>
      <c r="H72" s="59" t="s">
        <v>12</v>
      </c>
      <c r="I72" s="59" t="s">
        <v>63</v>
      </c>
      <c r="J72" s="59">
        <v>120</v>
      </c>
      <c r="K72" s="61" t="s">
        <v>210</v>
      </c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</row>
    <row r="73" spans="1:29" ht="15" x14ac:dyDescent="0.3">
      <c r="A73" s="55">
        <f t="shared" ca="1" si="1"/>
        <v>0.10217342341314051</v>
      </c>
      <c r="B73" s="55" t="s">
        <v>1</v>
      </c>
      <c r="C73" s="53" t="s">
        <v>37</v>
      </c>
      <c r="D73" s="63" t="s">
        <v>211</v>
      </c>
      <c r="E73" s="53" t="s">
        <v>194</v>
      </c>
      <c r="F73" s="53"/>
      <c r="G73" s="62">
        <v>1956</v>
      </c>
      <c r="H73" s="53" t="s">
        <v>13</v>
      </c>
      <c r="I73" s="53" t="s">
        <v>196</v>
      </c>
      <c r="J73" s="53"/>
      <c r="K73" s="63" t="s">
        <v>211</v>
      </c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</row>
    <row r="74" spans="1:29" ht="15" x14ac:dyDescent="0.3">
      <c r="A74" s="55">
        <f t="shared" ca="1" si="1"/>
        <v>0.58438588275033487</v>
      </c>
      <c r="B74" s="64"/>
      <c r="C74" s="59" t="s">
        <v>94</v>
      </c>
      <c r="D74" s="61" t="s">
        <v>594</v>
      </c>
      <c r="E74" s="59" t="s">
        <v>28</v>
      </c>
      <c r="F74" s="59"/>
      <c r="G74" s="60">
        <v>2002</v>
      </c>
      <c r="H74" s="59" t="s">
        <v>29</v>
      </c>
      <c r="I74" s="59"/>
      <c r="J74" s="59">
        <v>70</v>
      </c>
      <c r="K74" s="61" t="s">
        <v>594</v>
      </c>
    </row>
    <row r="75" spans="1:29" ht="15" x14ac:dyDescent="0.3">
      <c r="A75" s="55">
        <f t="shared" ca="1" si="1"/>
        <v>0.11722763060195396</v>
      </c>
      <c r="B75" s="55"/>
      <c r="C75" s="53" t="s">
        <v>46</v>
      </c>
      <c r="D75" s="63" t="s">
        <v>215</v>
      </c>
      <c r="E75" s="53" t="s">
        <v>178</v>
      </c>
      <c r="F75" s="53"/>
      <c r="G75" s="62">
        <v>1972</v>
      </c>
      <c r="H75" s="53" t="s">
        <v>12</v>
      </c>
      <c r="I75" s="53"/>
      <c r="J75" s="53">
        <v>70</v>
      </c>
      <c r="K75" s="63" t="s">
        <v>215</v>
      </c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</row>
    <row r="76" spans="1:29" ht="15" x14ac:dyDescent="0.3">
      <c r="A76" s="55">
        <f t="shared" ca="1" si="1"/>
        <v>3.2182008582275823E-2</v>
      </c>
      <c r="B76" s="55"/>
      <c r="C76" s="53"/>
      <c r="D76" s="63" t="s">
        <v>216</v>
      </c>
      <c r="E76" s="53" t="s">
        <v>217</v>
      </c>
      <c r="F76" s="53" t="s">
        <v>218</v>
      </c>
      <c r="G76" s="62">
        <v>1984</v>
      </c>
      <c r="H76" s="53" t="s">
        <v>12</v>
      </c>
      <c r="I76" s="53" t="s">
        <v>219</v>
      </c>
      <c r="J76" s="53">
        <v>60</v>
      </c>
      <c r="K76" s="63" t="s">
        <v>216</v>
      </c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</row>
    <row r="77" spans="1:29" ht="15" x14ac:dyDescent="0.3">
      <c r="A77" s="55">
        <f t="shared" ca="1" si="1"/>
        <v>0.4460137774349241</v>
      </c>
      <c r="B77" s="55" t="s">
        <v>1</v>
      </c>
      <c r="C77" s="53" t="s">
        <v>21</v>
      </c>
      <c r="D77" s="63" t="s">
        <v>220</v>
      </c>
      <c r="E77" s="53" t="s">
        <v>221</v>
      </c>
      <c r="F77" s="53"/>
      <c r="G77" s="62">
        <v>2013</v>
      </c>
      <c r="H77" s="53" t="s">
        <v>13</v>
      </c>
      <c r="I77" s="53"/>
      <c r="J77" s="53">
        <v>150</v>
      </c>
      <c r="K77" s="63" t="s">
        <v>220</v>
      </c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</row>
    <row r="78" spans="1:29" ht="15" x14ac:dyDescent="0.3">
      <c r="A78" s="55">
        <f t="shared" ca="1" si="1"/>
        <v>0.95017987702753381</v>
      </c>
      <c r="B78" s="55"/>
      <c r="C78" s="53" t="s">
        <v>93</v>
      </c>
      <c r="D78" s="63" t="s">
        <v>222</v>
      </c>
      <c r="E78" s="53" t="s">
        <v>223</v>
      </c>
      <c r="F78" s="53"/>
      <c r="G78" s="62">
        <v>1971</v>
      </c>
      <c r="H78" s="53" t="s">
        <v>12</v>
      </c>
      <c r="I78" s="53" t="s">
        <v>224</v>
      </c>
      <c r="J78" s="53">
        <v>130</v>
      </c>
      <c r="K78" s="63" t="s">
        <v>222</v>
      </c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</row>
    <row r="79" spans="1:29" s="53" customFormat="1" ht="15" x14ac:dyDescent="0.3">
      <c r="A79" s="55">
        <f t="shared" ca="1" si="1"/>
        <v>0.73491358426794506</v>
      </c>
      <c r="B79" s="55"/>
      <c r="D79" s="63" t="s">
        <v>225</v>
      </c>
      <c r="E79" s="53" t="s">
        <v>226</v>
      </c>
      <c r="G79" s="62">
        <v>1972</v>
      </c>
      <c r="H79" s="53" t="s">
        <v>12</v>
      </c>
      <c r="I79" s="53" t="s">
        <v>200</v>
      </c>
      <c r="J79" s="53">
        <v>90</v>
      </c>
      <c r="K79" s="63" t="s">
        <v>225</v>
      </c>
    </row>
    <row r="80" spans="1:29" s="53" customFormat="1" ht="15" x14ac:dyDescent="0.3">
      <c r="A80" s="55">
        <f t="shared" ca="1" si="1"/>
        <v>0.84188530100360914</v>
      </c>
      <c r="B80" s="55" t="s">
        <v>1</v>
      </c>
      <c r="C80" s="53" t="s">
        <v>77</v>
      </c>
      <c r="D80" s="63" t="s">
        <v>227</v>
      </c>
      <c r="E80" s="53" t="s">
        <v>229</v>
      </c>
      <c r="G80" s="62">
        <v>1983</v>
      </c>
      <c r="H80" s="53" t="s">
        <v>13</v>
      </c>
      <c r="J80" s="53">
        <v>85</v>
      </c>
      <c r="K80" s="63"/>
    </row>
    <row r="81" spans="1:29" s="53" customFormat="1" ht="15" x14ac:dyDescent="0.3">
      <c r="A81" s="55">
        <f t="shared" ca="1" si="1"/>
        <v>0.45387987258957252</v>
      </c>
      <c r="B81" s="55"/>
      <c r="C81" s="53" t="s">
        <v>77</v>
      </c>
      <c r="D81" s="74" t="s">
        <v>230</v>
      </c>
      <c r="E81" s="53" t="s">
        <v>231</v>
      </c>
      <c r="G81" s="62">
        <v>2002</v>
      </c>
      <c r="H81" s="53" t="s">
        <v>12</v>
      </c>
      <c r="J81" s="53">
        <v>80</v>
      </c>
      <c r="K81" s="74" t="s">
        <v>230</v>
      </c>
    </row>
    <row r="82" spans="1:29" s="53" customFormat="1" ht="15" x14ac:dyDescent="0.3">
      <c r="A82" s="55">
        <f t="shared" ca="1" si="1"/>
        <v>0.15502258028567706</v>
      </c>
      <c r="B82" s="55"/>
      <c r="C82" s="53" t="s">
        <v>37</v>
      </c>
      <c r="D82" s="63" t="s">
        <v>232</v>
      </c>
      <c r="E82" s="59" t="s">
        <v>90</v>
      </c>
      <c r="G82" s="62">
        <v>1968</v>
      </c>
      <c r="H82" s="53" t="s">
        <v>12</v>
      </c>
      <c r="I82" s="53" t="s">
        <v>13</v>
      </c>
      <c r="J82" s="53">
        <v>85</v>
      </c>
      <c r="K82" s="63" t="s">
        <v>232</v>
      </c>
    </row>
    <row r="83" spans="1:29" ht="15" x14ac:dyDescent="0.3">
      <c r="A83" s="55">
        <f t="shared" ca="1" si="1"/>
        <v>0.9361857212182515</v>
      </c>
      <c r="B83" s="55"/>
      <c r="C83" s="53" t="s">
        <v>37</v>
      </c>
      <c r="D83" s="63" t="s">
        <v>565</v>
      </c>
      <c r="E83" s="53" t="s">
        <v>237</v>
      </c>
      <c r="F83" s="53"/>
      <c r="G83" s="62">
        <v>2002</v>
      </c>
      <c r="H83" s="53" t="s">
        <v>12</v>
      </c>
      <c r="I83" s="53" t="s">
        <v>238</v>
      </c>
      <c r="J83" s="53">
        <v>100</v>
      </c>
      <c r="K83" s="63" t="s">
        <v>236</v>
      </c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</row>
    <row r="84" spans="1:29" ht="15" x14ac:dyDescent="0.3">
      <c r="A84" s="55">
        <f t="shared" ca="1" si="1"/>
        <v>0.42869810852382984</v>
      </c>
      <c r="B84" s="55"/>
      <c r="C84" s="53" t="s">
        <v>37</v>
      </c>
      <c r="D84" s="63" t="s">
        <v>233</v>
      </c>
      <c r="E84" s="53" t="s">
        <v>234</v>
      </c>
      <c r="F84" s="53"/>
      <c r="G84" s="62">
        <v>2004</v>
      </c>
      <c r="H84" s="53" t="s">
        <v>13</v>
      </c>
      <c r="I84" s="53" t="s">
        <v>235</v>
      </c>
      <c r="J84" s="53">
        <v>105</v>
      </c>
      <c r="K84" s="63" t="s">
        <v>233</v>
      </c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</row>
    <row r="85" spans="1:29" ht="15" x14ac:dyDescent="0.3">
      <c r="A85" s="55">
        <f t="shared" ca="1" si="1"/>
        <v>0.40994960049803497</v>
      </c>
      <c r="B85" s="55"/>
      <c r="C85" s="53" t="s">
        <v>77</v>
      </c>
      <c r="D85" s="63" t="s">
        <v>240</v>
      </c>
      <c r="E85" s="53" t="s">
        <v>241</v>
      </c>
      <c r="F85" s="53"/>
      <c r="G85" s="62">
        <v>1976</v>
      </c>
      <c r="H85" s="53" t="s">
        <v>12</v>
      </c>
      <c r="I85" s="53"/>
      <c r="J85" s="53">
        <v>80</v>
      </c>
      <c r="K85" s="63" t="s">
        <v>240</v>
      </c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</row>
    <row r="86" spans="1:29" ht="15" x14ac:dyDescent="0.3">
      <c r="A86" s="55">
        <f t="shared" ca="1" si="1"/>
        <v>4.252233687479956E-3</v>
      </c>
      <c r="B86" s="55"/>
      <c r="C86" s="53"/>
      <c r="D86" s="63" t="s">
        <v>242</v>
      </c>
      <c r="E86" s="53" t="s">
        <v>28</v>
      </c>
      <c r="F86" s="53"/>
      <c r="G86" s="62">
        <v>2015</v>
      </c>
      <c r="H86" s="53" t="s">
        <v>13</v>
      </c>
      <c r="I86" s="53" t="s">
        <v>29</v>
      </c>
      <c r="J86" s="53">
        <v>95</v>
      </c>
      <c r="K86" s="63" t="s">
        <v>242</v>
      </c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</row>
    <row r="87" spans="1:29" ht="15" x14ac:dyDescent="0.3">
      <c r="A87" s="55">
        <f t="shared" ca="1" si="1"/>
        <v>0.55681331953719104</v>
      </c>
      <c r="B87" s="55"/>
      <c r="C87" s="53" t="s">
        <v>93</v>
      </c>
      <c r="D87" s="65" t="s">
        <v>243</v>
      </c>
      <c r="E87" s="59" t="s">
        <v>90</v>
      </c>
      <c r="F87" s="53"/>
      <c r="G87" s="62">
        <v>1968</v>
      </c>
      <c r="H87" s="53" t="s">
        <v>12</v>
      </c>
      <c r="I87" s="53" t="s">
        <v>13</v>
      </c>
      <c r="J87" s="53">
        <v>150</v>
      </c>
      <c r="K87" s="65" t="s">
        <v>243</v>
      </c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</row>
    <row r="88" spans="1:29" ht="15" x14ac:dyDescent="0.3">
      <c r="A88" s="55">
        <f t="shared" ca="1" si="1"/>
        <v>0.98867453856281373</v>
      </c>
      <c r="B88" s="55"/>
      <c r="C88" s="53" t="s">
        <v>37</v>
      </c>
      <c r="D88" s="65" t="s">
        <v>530</v>
      </c>
      <c r="E88" s="53" t="s">
        <v>90</v>
      </c>
      <c r="F88" s="53"/>
      <c r="G88" s="62">
        <v>1963</v>
      </c>
      <c r="H88" s="53" t="s">
        <v>12</v>
      </c>
      <c r="I88" s="53" t="s">
        <v>13</v>
      </c>
      <c r="J88" s="53">
        <v>125</v>
      </c>
      <c r="K88" s="65" t="s">
        <v>530</v>
      </c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</row>
    <row r="89" spans="1:29" ht="15" x14ac:dyDescent="0.3">
      <c r="A89" s="55">
        <f t="shared" ca="1" si="1"/>
        <v>0.2734005604860178</v>
      </c>
      <c r="B89" s="55"/>
      <c r="C89" s="53" t="s">
        <v>37</v>
      </c>
      <c r="D89" s="63" t="s">
        <v>244</v>
      </c>
      <c r="E89" s="53" t="s">
        <v>167</v>
      </c>
      <c r="F89" s="53"/>
      <c r="G89" s="62">
        <v>2006</v>
      </c>
      <c r="H89" s="53" t="s">
        <v>12</v>
      </c>
      <c r="I89" s="53" t="s">
        <v>245</v>
      </c>
      <c r="J89" s="53">
        <v>85</v>
      </c>
      <c r="K89" s="63" t="s">
        <v>244</v>
      </c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</row>
    <row r="90" spans="1:29" ht="15" x14ac:dyDescent="0.3">
      <c r="A90" s="55">
        <f t="shared" ca="1" si="1"/>
        <v>0.39735232887288452</v>
      </c>
      <c r="B90" s="55"/>
      <c r="C90" s="53" t="s">
        <v>10</v>
      </c>
      <c r="D90" s="63" t="s">
        <v>247</v>
      </c>
      <c r="E90" s="53" t="s">
        <v>248</v>
      </c>
      <c r="F90" s="53"/>
      <c r="G90" s="62">
        <v>2002</v>
      </c>
      <c r="H90" s="53" t="s">
        <v>12</v>
      </c>
      <c r="I90" s="53" t="s">
        <v>249</v>
      </c>
      <c r="J90" s="53">
        <v>120</v>
      </c>
      <c r="K90" s="63" t="s">
        <v>247</v>
      </c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</row>
    <row r="91" spans="1:29" ht="15" x14ac:dyDescent="0.3">
      <c r="A91" s="55">
        <f t="shared" ca="1" si="1"/>
        <v>0.67123752136911796</v>
      </c>
      <c r="B91" s="55" t="s">
        <v>1</v>
      </c>
      <c r="C91" s="53" t="s">
        <v>14</v>
      </c>
      <c r="D91" s="61" t="s">
        <v>258</v>
      </c>
      <c r="E91" s="59" t="s">
        <v>178</v>
      </c>
      <c r="F91" s="59"/>
      <c r="G91" s="60">
        <v>1971</v>
      </c>
      <c r="H91" s="59" t="s">
        <v>170</v>
      </c>
      <c r="I91" s="59" t="s">
        <v>33</v>
      </c>
      <c r="J91" s="59">
        <v>50</v>
      </c>
      <c r="K91" s="61" t="s">
        <v>258</v>
      </c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</row>
    <row r="92" spans="1:29" ht="15" x14ac:dyDescent="0.3">
      <c r="A92" s="55">
        <f t="shared" ca="1" si="1"/>
        <v>0.49508813199230584</v>
      </c>
      <c r="B92" s="55"/>
      <c r="C92" s="53" t="s">
        <v>94</v>
      </c>
      <c r="D92" s="63" t="s">
        <v>259</v>
      </c>
      <c r="E92" s="53" t="s">
        <v>571</v>
      </c>
      <c r="F92" s="53" t="s">
        <v>260</v>
      </c>
      <c r="G92" s="62">
        <v>1962</v>
      </c>
      <c r="H92" s="53" t="s">
        <v>63</v>
      </c>
      <c r="I92" s="53"/>
      <c r="J92" s="53">
        <v>95</v>
      </c>
      <c r="K92" s="63" t="s">
        <v>259</v>
      </c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</row>
    <row r="93" spans="1:29" ht="15" x14ac:dyDescent="0.3">
      <c r="A93" s="55">
        <f t="shared" ca="1" si="1"/>
        <v>0.76987626130423992</v>
      </c>
      <c r="B93" s="55"/>
      <c r="C93" s="53" t="s">
        <v>30</v>
      </c>
      <c r="D93" s="63" t="s">
        <v>556</v>
      </c>
      <c r="E93" s="53" t="s">
        <v>251</v>
      </c>
      <c r="F93" s="53"/>
      <c r="G93" s="62">
        <v>1995</v>
      </c>
      <c r="H93" s="53" t="s">
        <v>12</v>
      </c>
      <c r="I93" s="53" t="s">
        <v>252</v>
      </c>
      <c r="J93" s="53">
        <v>100</v>
      </c>
      <c r="K93" s="63" t="s">
        <v>250</v>
      </c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</row>
    <row r="94" spans="1:29" ht="15" x14ac:dyDescent="0.3">
      <c r="A94" s="55">
        <f t="shared" ca="1" si="1"/>
        <v>0.20326910065952564</v>
      </c>
      <c r="B94" s="64"/>
      <c r="C94" s="59" t="s">
        <v>46</v>
      </c>
      <c r="D94" s="61" t="s">
        <v>253</v>
      </c>
      <c r="E94" s="59" t="s">
        <v>254</v>
      </c>
      <c r="F94" s="59"/>
      <c r="G94" s="60">
        <v>1967</v>
      </c>
      <c r="H94" s="59" t="s">
        <v>13</v>
      </c>
      <c r="I94" s="59" t="s">
        <v>255</v>
      </c>
      <c r="J94" s="59">
        <v>150</v>
      </c>
      <c r="K94" s="61" t="s">
        <v>253</v>
      </c>
    </row>
    <row r="95" spans="1:29" s="53" customFormat="1" ht="15" x14ac:dyDescent="0.3">
      <c r="A95" s="55">
        <f t="shared" ca="1" si="1"/>
        <v>3.9710705581423755E-2</v>
      </c>
      <c r="B95" s="55"/>
      <c r="D95" s="63" t="s">
        <v>256</v>
      </c>
      <c r="E95" s="53" t="s">
        <v>107</v>
      </c>
      <c r="G95" s="62">
        <v>2008</v>
      </c>
      <c r="H95" s="53" t="s">
        <v>12</v>
      </c>
      <c r="I95" s="53" t="s">
        <v>257</v>
      </c>
      <c r="J95" s="53">
        <v>80</v>
      </c>
      <c r="K95" s="63" t="s">
        <v>256</v>
      </c>
    </row>
    <row r="96" spans="1:29" s="53" customFormat="1" ht="15" x14ac:dyDescent="0.3">
      <c r="A96" s="55">
        <f t="shared" ca="1" si="1"/>
        <v>1.0422169064719045E-2</v>
      </c>
      <c r="B96" s="55"/>
      <c r="C96" s="53" t="s">
        <v>77</v>
      </c>
      <c r="D96" s="63" t="s">
        <v>269</v>
      </c>
      <c r="E96" s="53" t="s">
        <v>270</v>
      </c>
      <c r="G96" s="62">
        <v>1972</v>
      </c>
      <c r="H96" s="53" t="s">
        <v>63</v>
      </c>
      <c r="J96" s="53">
        <v>55</v>
      </c>
      <c r="K96" s="63" t="s">
        <v>269</v>
      </c>
    </row>
    <row r="97" spans="1:1024" ht="15" x14ac:dyDescent="0.3">
      <c r="A97" s="55">
        <f t="shared" ca="1" si="1"/>
        <v>0.25020718908881301</v>
      </c>
      <c r="B97" s="64" t="s">
        <v>1</v>
      </c>
      <c r="C97" s="59" t="s">
        <v>37</v>
      </c>
      <c r="D97" s="61" t="s">
        <v>273</v>
      </c>
      <c r="E97" s="59" t="s">
        <v>274</v>
      </c>
      <c r="F97" s="59" t="s">
        <v>275</v>
      </c>
      <c r="G97" s="60">
        <v>1950</v>
      </c>
      <c r="H97" s="59" t="s">
        <v>59</v>
      </c>
      <c r="I97" s="59" t="s">
        <v>66</v>
      </c>
      <c r="J97" s="59"/>
      <c r="K97" s="61" t="s">
        <v>273</v>
      </c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</row>
    <row r="98" spans="1:1024" ht="15" x14ac:dyDescent="0.3">
      <c r="A98" s="55">
        <f t="shared" ca="1" si="1"/>
        <v>0.62717673070575719</v>
      </c>
      <c r="B98" s="55" t="s">
        <v>1</v>
      </c>
      <c r="C98" s="53"/>
      <c r="D98" s="63" t="s">
        <v>276</v>
      </c>
      <c r="E98" s="53" t="s">
        <v>64</v>
      </c>
      <c r="F98" s="53"/>
      <c r="G98" s="62">
        <v>1971</v>
      </c>
      <c r="H98" s="53" t="s">
        <v>12</v>
      </c>
      <c r="I98" s="53" t="s">
        <v>277</v>
      </c>
      <c r="J98" s="53"/>
      <c r="K98" s="63" t="s">
        <v>276</v>
      </c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</row>
    <row r="99" spans="1:1024" s="66" customFormat="1" ht="15" x14ac:dyDescent="0.3">
      <c r="A99" s="55">
        <f t="shared" ca="1" si="1"/>
        <v>0.16180250037152144</v>
      </c>
      <c r="B99" s="55"/>
      <c r="C99" s="53"/>
      <c r="D99" s="63" t="s">
        <v>278</v>
      </c>
      <c r="E99" s="53" t="s">
        <v>53</v>
      </c>
      <c r="F99" s="53"/>
      <c r="G99" s="62">
        <v>1966</v>
      </c>
      <c r="H99" s="53" t="s">
        <v>63</v>
      </c>
      <c r="I99" s="53"/>
      <c r="J99" s="53">
        <v>65</v>
      </c>
      <c r="K99" s="63" t="s">
        <v>278</v>
      </c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MI99" s="54"/>
      <c r="AMJ99" s="54"/>
    </row>
    <row r="100" spans="1:1024" s="66" customFormat="1" ht="15" x14ac:dyDescent="0.3">
      <c r="A100" s="55">
        <f t="shared" ca="1" si="1"/>
        <v>0.81526333329660861</v>
      </c>
      <c r="B100" s="55"/>
      <c r="C100" s="53"/>
      <c r="D100" s="63" t="s">
        <v>279</v>
      </c>
      <c r="E100" s="53" t="s">
        <v>280</v>
      </c>
      <c r="F100" s="53"/>
      <c r="G100" s="62">
        <v>1995</v>
      </c>
      <c r="H100" s="53" t="s">
        <v>13</v>
      </c>
      <c r="I100" s="53"/>
      <c r="J100" s="53">
        <v>140</v>
      </c>
      <c r="K100" s="63" t="s">
        <v>279</v>
      </c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MI100" s="54"/>
      <c r="AMJ100" s="54"/>
    </row>
    <row r="101" spans="1:1024" ht="15" x14ac:dyDescent="0.3">
      <c r="A101" s="55">
        <f t="shared" ca="1" si="1"/>
        <v>7.6079037082307233E-2</v>
      </c>
      <c r="B101" s="55" t="s">
        <v>1</v>
      </c>
      <c r="C101" s="53"/>
      <c r="D101" s="63" t="s">
        <v>281</v>
      </c>
      <c r="E101" s="53" t="s">
        <v>282</v>
      </c>
      <c r="F101" s="53"/>
      <c r="G101" s="62">
        <v>2012</v>
      </c>
      <c r="H101" s="53" t="s">
        <v>12</v>
      </c>
      <c r="I101" s="53" t="s">
        <v>283</v>
      </c>
      <c r="J101" s="53"/>
      <c r="K101" s="63" t="s">
        <v>281</v>
      </c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</row>
    <row r="102" spans="1:1024" ht="15" x14ac:dyDescent="0.3">
      <c r="A102" s="55">
        <f t="shared" ca="1" si="1"/>
        <v>0.54089579090693651</v>
      </c>
      <c r="B102" s="55" t="s">
        <v>1</v>
      </c>
      <c r="C102" s="53"/>
      <c r="D102" s="63" t="s">
        <v>284</v>
      </c>
      <c r="E102" s="53" t="s">
        <v>84</v>
      </c>
      <c r="F102" s="53"/>
      <c r="G102" s="62">
        <v>2015</v>
      </c>
      <c r="H102" s="53" t="s">
        <v>76</v>
      </c>
      <c r="I102" s="53"/>
      <c r="J102" s="53"/>
      <c r="K102" s="63" t="s">
        <v>284</v>
      </c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</row>
    <row r="103" spans="1:1024" ht="15" x14ac:dyDescent="0.3">
      <c r="A103" s="55">
        <f t="shared" ca="1" si="1"/>
        <v>0.92773062116428839</v>
      </c>
      <c r="B103" s="55"/>
      <c r="C103" s="53"/>
      <c r="D103" s="63" t="s">
        <v>285</v>
      </c>
      <c r="E103" s="53" t="s">
        <v>64</v>
      </c>
      <c r="F103" s="53"/>
      <c r="G103" s="62">
        <v>1992</v>
      </c>
      <c r="H103" s="53" t="s">
        <v>12</v>
      </c>
      <c r="I103" s="53" t="s">
        <v>66</v>
      </c>
      <c r="J103" s="53">
        <v>80</v>
      </c>
      <c r="K103" s="63" t="s">
        <v>285</v>
      </c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</row>
    <row r="104" spans="1:1024" ht="15" x14ac:dyDescent="0.3">
      <c r="A104" s="55">
        <f t="shared" ca="1" si="1"/>
        <v>0.1127008854524022</v>
      </c>
      <c r="B104" s="55"/>
      <c r="C104" s="53" t="s">
        <v>37</v>
      </c>
      <c r="D104" s="63" t="s">
        <v>286</v>
      </c>
      <c r="E104" s="53" t="s">
        <v>287</v>
      </c>
      <c r="F104" s="53"/>
      <c r="G104" s="62">
        <v>2009</v>
      </c>
      <c r="H104" s="53" t="s">
        <v>59</v>
      </c>
      <c r="I104" s="53" t="s">
        <v>288</v>
      </c>
      <c r="J104" s="53">
        <v>100</v>
      </c>
      <c r="K104" s="63" t="s">
        <v>286</v>
      </c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</row>
    <row r="105" spans="1:1024" ht="15" x14ac:dyDescent="0.3">
      <c r="A105" s="55">
        <f t="shared" ca="1" si="1"/>
        <v>0.77556090263832844</v>
      </c>
      <c r="B105" s="55"/>
      <c r="C105" s="53" t="s">
        <v>17</v>
      </c>
      <c r="D105" s="63" t="s">
        <v>289</v>
      </c>
      <c r="E105" s="53" t="s">
        <v>290</v>
      </c>
      <c r="F105" s="53"/>
      <c r="G105" s="62">
        <v>1973</v>
      </c>
      <c r="H105" s="53" t="s">
        <v>12</v>
      </c>
      <c r="I105" s="53" t="s">
        <v>200</v>
      </c>
      <c r="J105" s="53">
        <v>120</v>
      </c>
      <c r="K105" s="63" t="s">
        <v>289</v>
      </c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</row>
    <row r="106" spans="1:1024" ht="15" x14ac:dyDescent="0.3">
      <c r="A106" s="55">
        <f t="shared" ca="1" si="1"/>
        <v>0.77366496459045619</v>
      </c>
      <c r="B106" s="55" t="s">
        <v>1</v>
      </c>
      <c r="C106" s="53" t="s">
        <v>77</v>
      </c>
      <c r="D106" s="63" t="s">
        <v>291</v>
      </c>
      <c r="E106" s="53" t="s">
        <v>292</v>
      </c>
      <c r="F106" s="53"/>
      <c r="G106" s="62">
        <v>1991</v>
      </c>
      <c r="H106" s="53" t="s">
        <v>12</v>
      </c>
      <c r="I106" s="53"/>
      <c r="J106" s="53"/>
      <c r="K106" s="63" t="s">
        <v>291</v>
      </c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</row>
    <row r="107" spans="1:1024" ht="15" x14ac:dyDescent="0.3">
      <c r="A107" s="55">
        <f t="shared" ca="1" si="1"/>
        <v>2.6471923940282971E-2</v>
      </c>
      <c r="B107" s="55" t="s">
        <v>1</v>
      </c>
      <c r="C107" s="53" t="s">
        <v>105</v>
      </c>
      <c r="D107" s="65" t="s">
        <v>553</v>
      </c>
      <c r="E107" s="53" t="s">
        <v>554</v>
      </c>
      <c r="F107" s="53"/>
      <c r="G107" s="62">
        <v>2015</v>
      </c>
      <c r="H107" s="53" t="s">
        <v>12</v>
      </c>
      <c r="I107" s="53" t="s">
        <v>43</v>
      </c>
      <c r="J107" s="53">
        <v>80</v>
      </c>
      <c r="K107" s="65" t="s">
        <v>553</v>
      </c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</row>
    <row r="108" spans="1:1024" ht="15" x14ac:dyDescent="0.3">
      <c r="A108" s="55">
        <f t="shared" ca="1" si="1"/>
        <v>0.46932434189884586</v>
      </c>
      <c r="B108" s="55"/>
      <c r="C108" s="53" t="s">
        <v>93</v>
      </c>
      <c r="D108" s="63" t="s">
        <v>293</v>
      </c>
      <c r="E108" s="53" t="s">
        <v>294</v>
      </c>
      <c r="F108" s="53"/>
      <c r="G108" s="62">
        <v>2015</v>
      </c>
      <c r="H108" s="53" t="s">
        <v>13</v>
      </c>
      <c r="I108" s="53"/>
      <c r="J108" s="53">
        <v>100</v>
      </c>
      <c r="K108" s="6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</row>
    <row r="109" spans="1:1024" ht="15" x14ac:dyDescent="0.3">
      <c r="A109" s="55">
        <f t="shared" ca="1" si="1"/>
        <v>0.92745485994238563</v>
      </c>
      <c r="B109" s="55"/>
      <c r="C109" s="53"/>
      <c r="D109" s="63" t="s">
        <v>295</v>
      </c>
      <c r="E109" s="53" t="s">
        <v>107</v>
      </c>
      <c r="F109" s="53"/>
      <c r="G109" s="62">
        <v>2009</v>
      </c>
      <c r="H109" s="53" t="s">
        <v>13</v>
      </c>
      <c r="I109" s="53"/>
      <c r="J109" s="53">
        <v>125</v>
      </c>
      <c r="K109" s="63" t="s">
        <v>295</v>
      </c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</row>
    <row r="110" spans="1:1024" ht="15" x14ac:dyDescent="0.3">
      <c r="A110" s="55">
        <f t="shared" ca="1" si="1"/>
        <v>0.99349190368153906</v>
      </c>
      <c r="B110" s="55"/>
      <c r="C110" s="53"/>
      <c r="D110" s="63" t="s">
        <v>297</v>
      </c>
      <c r="E110" s="53" t="s">
        <v>298</v>
      </c>
      <c r="F110" s="53" t="s">
        <v>299</v>
      </c>
      <c r="G110" s="62">
        <v>1957</v>
      </c>
      <c r="H110" s="53" t="s">
        <v>69</v>
      </c>
      <c r="I110" s="53" t="s">
        <v>76</v>
      </c>
      <c r="J110" s="53">
        <v>145</v>
      </c>
      <c r="K110" s="6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</row>
    <row r="111" spans="1:1024" ht="15" x14ac:dyDescent="0.3">
      <c r="A111" s="55">
        <f t="shared" ca="1" si="1"/>
        <v>0.53128887249432133</v>
      </c>
      <c r="B111" s="55"/>
      <c r="C111" s="53"/>
      <c r="D111" s="61" t="s">
        <v>300</v>
      </c>
      <c r="E111" s="53" t="s">
        <v>228</v>
      </c>
      <c r="F111" s="53" t="s">
        <v>92</v>
      </c>
      <c r="G111" s="62">
        <v>1997</v>
      </c>
      <c r="H111" s="53" t="s">
        <v>12</v>
      </c>
      <c r="I111" s="53" t="s">
        <v>66</v>
      </c>
      <c r="J111" s="53">
        <v>80</v>
      </c>
      <c r="K111" s="61" t="s">
        <v>300</v>
      </c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</row>
    <row r="112" spans="1:1024" ht="15" x14ac:dyDescent="0.3">
      <c r="A112" s="55">
        <f t="shared" ca="1" si="1"/>
        <v>3.639831148316186E-2</v>
      </c>
      <c r="B112" s="55"/>
      <c r="C112" s="53" t="s">
        <v>77</v>
      </c>
      <c r="D112" s="63" t="s">
        <v>302</v>
      </c>
      <c r="E112" s="53" t="s">
        <v>573</v>
      </c>
      <c r="F112" s="53"/>
      <c r="G112" s="62">
        <v>1993</v>
      </c>
      <c r="H112" s="53" t="s">
        <v>12</v>
      </c>
      <c r="I112" s="53" t="s">
        <v>200</v>
      </c>
      <c r="J112" s="53">
        <v>85</v>
      </c>
      <c r="K112" s="63" t="s">
        <v>302</v>
      </c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</row>
    <row r="113" spans="1:29" ht="15" x14ac:dyDescent="0.3">
      <c r="A113" s="55">
        <f t="shared" ca="1" si="1"/>
        <v>0.81565844930212095</v>
      </c>
      <c r="B113" s="55"/>
      <c r="C113" s="53" t="s">
        <v>105</v>
      </c>
      <c r="D113" s="63" t="s">
        <v>306</v>
      </c>
      <c r="E113" s="59" t="s">
        <v>90</v>
      </c>
      <c r="F113" s="53"/>
      <c r="G113" s="62">
        <v>1965</v>
      </c>
      <c r="H113" s="53" t="s">
        <v>13</v>
      </c>
      <c r="I113" s="53"/>
      <c r="J113" s="53">
        <v>130</v>
      </c>
      <c r="K113" s="63" t="s">
        <v>306</v>
      </c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</row>
    <row r="114" spans="1:29" ht="15" x14ac:dyDescent="0.3">
      <c r="A114" s="55">
        <f t="shared" ca="1" si="1"/>
        <v>0.84116916055643964</v>
      </c>
      <c r="B114" s="55" t="s">
        <v>1</v>
      </c>
      <c r="C114" s="53" t="s">
        <v>14</v>
      </c>
      <c r="D114" s="63" t="s">
        <v>307</v>
      </c>
      <c r="E114" s="53" t="s">
        <v>65</v>
      </c>
      <c r="F114" s="53" t="s">
        <v>308</v>
      </c>
      <c r="G114" s="62">
        <v>1961</v>
      </c>
      <c r="H114" s="54" t="s">
        <v>239</v>
      </c>
      <c r="J114" s="54">
        <v>35</v>
      </c>
      <c r="K114" s="65" t="s">
        <v>307</v>
      </c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</row>
    <row r="115" spans="1:29" ht="15" x14ac:dyDescent="0.3">
      <c r="A115" s="55">
        <f t="shared" ca="1" si="1"/>
        <v>0.71410671451631247</v>
      </c>
      <c r="B115" s="55"/>
      <c r="C115" s="53" t="s">
        <v>46</v>
      </c>
      <c r="D115" s="63" t="s">
        <v>311</v>
      </c>
      <c r="E115" s="53" t="s">
        <v>312</v>
      </c>
      <c r="F115" s="53"/>
      <c r="G115" s="62">
        <v>1991</v>
      </c>
      <c r="H115" s="53" t="s">
        <v>12</v>
      </c>
      <c r="I115" s="53" t="s">
        <v>235</v>
      </c>
      <c r="J115" s="53">
        <v>100</v>
      </c>
      <c r="K115" s="63" t="s">
        <v>311</v>
      </c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</row>
    <row r="116" spans="1:29" ht="15" x14ac:dyDescent="0.3">
      <c r="A116" s="55">
        <f t="shared" ca="1" si="1"/>
        <v>0.59401417244986876</v>
      </c>
      <c r="B116" s="55" t="s">
        <v>1</v>
      </c>
      <c r="C116" s="53" t="s">
        <v>93</v>
      </c>
      <c r="D116" s="63" t="s">
        <v>313</v>
      </c>
      <c r="E116" s="53" t="s">
        <v>314</v>
      </c>
      <c r="F116" s="53"/>
      <c r="G116" s="62">
        <v>1977</v>
      </c>
      <c r="H116" s="53" t="s">
        <v>12</v>
      </c>
      <c r="I116" s="53" t="s">
        <v>13</v>
      </c>
      <c r="J116" s="53">
        <v>85</v>
      </c>
      <c r="K116" s="63" t="s">
        <v>313</v>
      </c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</row>
    <row r="117" spans="1:29" ht="15" x14ac:dyDescent="0.3">
      <c r="A117" s="55">
        <f t="shared" ca="1" si="1"/>
        <v>0.97108995594527658</v>
      </c>
      <c r="B117" s="55" t="s">
        <v>1</v>
      </c>
      <c r="C117" s="53"/>
      <c r="D117" s="65" t="s">
        <v>541</v>
      </c>
      <c r="E117" s="53" t="s">
        <v>558</v>
      </c>
      <c r="F117" s="53"/>
      <c r="G117" s="62">
        <v>2003</v>
      </c>
      <c r="H117" s="53" t="s">
        <v>12</v>
      </c>
      <c r="I117" s="53" t="s">
        <v>13</v>
      </c>
      <c r="J117" s="53">
        <v>140</v>
      </c>
      <c r="K117" s="65" t="s">
        <v>541</v>
      </c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</row>
    <row r="118" spans="1:29" ht="15" x14ac:dyDescent="0.3">
      <c r="A118" s="55">
        <f t="shared" ca="1" si="1"/>
        <v>2.9888153975324849E-3</v>
      </c>
      <c r="B118" s="64" t="s">
        <v>1</v>
      </c>
      <c r="C118" s="66"/>
      <c r="D118" s="61" t="s">
        <v>315</v>
      </c>
      <c r="E118" s="66" t="s">
        <v>316</v>
      </c>
      <c r="F118" s="66"/>
      <c r="G118" s="67">
        <v>2000</v>
      </c>
      <c r="H118" s="66" t="s">
        <v>13</v>
      </c>
      <c r="I118" s="66"/>
      <c r="J118" s="66">
        <v>80</v>
      </c>
      <c r="K118" s="61" t="s">
        <v>315</v>
      </c>
    </row>
    <row r="119" spans="1:29" ht="15" x14ac:dyDescent="0.3">
      <c r="A119" s="55">
        <f t="shared" ca="1" si="1"/>
        <v>0.44488818166905886</v>
      </c>
      <c r="B119" s="64" t="s">
        <v>1</v>
      </c>
      <c r="C119" s="66"/>
      <c r="D119" s="61" t="s">
        <v>550</v>
      </c>
      <c r="E119" s="66" t="s">
        <v>551</v>
      </c>
      <c r="F119" s="66"/>
      <c r="G119" s="67">
        <v>1977</v>
      </c>
      <c r="H119" s="66" t="s">
        <v>170</v>
      </c>
      <c r="I119" s="66"/>
      <c r="J119" s="66">
        <v>80</v>
      </c>
      <c r="K119" s="61" t="s">
        <v>550</v>
      </c>
    </row>
    <row r="120" spans="1:29" ht="15" x14ac:dyDescent="0.3">
      <c r="A120" s="55">
        <f t="shared" ca="1" si="1"/>
        <v>0.89089252281995612</v>
      </c>
      <c r="B120" s="55"/>
      <c r="C120" s="53" t="s">
        <v>94</v>
      </c>
      <c r="D120" s="65" t="s">
        <v>548</v>
      </c>
      <c r="E120" s="53" t="s">
        <v>547</v>
      </c>
      <c r="F120" s="53"/>
      <c r="G120" s="62">
        <v>2006</v>
      </c>
      <c r="H120" s="53" t="s">
        <v>13</v>
      </c>
      <c r="I120" s="53" t="s">
        <v>12</v>
      </c>
      <c r="J120" s="53">
        <v>160</v>
      </c>
      <c r="K120" s="65" t="s">
        <v>548</v>
      </c>
    </row>
    <row r="121" spans="1:29" ht="15" x14ac:dyDescent="0.3">
      <c r="A121" s="55">
        <f t="shared" ca="1" si="1"/>
        <v>0.55193759285509458</v>
      </c>
      <c r="B121" s="55" t="s">
        <v>1</v>
      </c>
      <c r="C121" s="53"/>
      <c r="D121" s="63" t="s">
        <v>317</v>
      </c>
      <c r="E121" s="53" t="s">
        <v>318</v>
      </c>
      <c r="F121" s="53"/>
      <c r="G121" s="62">
        <v>1967</v>
      </c>
      <c r="H121" s="53" t="s">
        <v>12</v>
      </c>
      <c r="I121" s="53" t="s">
        <v>13</v>
      </c>
      <c r="J121" s="53"/>
      <c r="K121" s="63"/>
    </row>
    <row r="122" spans="1:29" ht="15" x14ac:dyDescent="0.3">
      <c r="A122" s="55">
        <f t="shared" ca="1" si="1"/>
        <v>0.57835828026914138</v>
      </c>
      <c r="B122" s="55"/>
      <c r="C122" s="53"/>
      <c r="D122" s="63" t="s">
        <v>319</v>
      </c>
      <c r="E122" s="59" t="s">
        <v>90</v>
      </c>
      <c r="F122" s="53"/>
      <c r="G122" s="62">
        <v>1965</v>
      </c>
      <c r="H122" s="53" t="s">
        <v>170</v>
      </c>
      <c r="I122" s="53"/>
      <c r="J122" s="53">
        <v>150</v>
      </c>
      <c r="K122" s="63" t="s">
        <v>319</v>
      </c>
    </row>
    <row r="123" spans="1:29" ht="15" x14ac:dyDescent="0.3">
      <c r="A123" s="55">
        <f t="shared" ca="1" si="1"/>
        <v>0.78395771610460185</v>
      </c>
      <c r="B123" s="55"/>
      <c r="C123" s="53"/>
      <c r="D123" s="63" t="s">
        <v>320</v>
      </c>
      <c r="E123" s="59" t="s">
        <v>321</v>
      </c>
      <c r="F123" s="53"/>
      <c r="G123" s="62">
        <v>2003</v>
      </c>
      <c r="H123" s="53" t="s">
        <v>322</v>
      </c>
      <c r="I123" s="53" t="s">
        <v>29</v>
      </c>
      <c r="J123" s="53">
        <v>120</v>
      </c>
      <c r="K123" s="63" t="s">
        <v>320</v>
      </c>
    </row>
    <row r="124" spans="1:29" ht="15" x14ac:dyDescent="0.3">
      <c r="A124" s="55">
        <f t="shared" ca="1" si="1"/>
        <v>1.0768542014627513E-4</v>
      </c>
      <c r="B124" s="55"/>
      <c r="C124" s="53"/>
      <c r="D124" s="63" t="s">
        <v>570</v>
      </c>
      <c r="E124" s="59" t="s">
        <v>326</v>
      </c>
      <c r="F124" s="53"/>
      <c r="G124" s="62">
        <v>1995</v>
      </c>
      <c r="H124" s="53" t="s">
        <v>12</v>
      </c>
      <c r="I124" s="53"/>
      <c r="J124" s="53">
        <v>140</v>
      </c>
      <c r="K124" s="63" t="s">
        <v>325</v>
      </c>
    </row>
    <row r="125" spans="1:29" ht="15" x14ac:dyDescent="0.3">
      <c r="A125" s="55">
        <f t="shared" ca="1" si="1"/>
        <v>0.92067017269603713</v>
      </c>
      <c r="B125" s="55"/>
      <c r="C125" s="53" t="s">
        <v>10</v>
      </c>
      <c r="D125" s="63" t="s">
        <v>327</v>
      </c>
      <c r="E125" s="59" t="s">
        <v>328</v>
      </c>
      <c r="F125" s="53"/>
      <c r="G125" s="62">
        <v>2002</v>
      </c>
      <c r="H125" s="53" t="s">
        <v>13</v>
      </c>
      <c r="I125" s="53"/>
      <c r="J125" s="53">
        <v>100</v>
      </c>
      <c r="K125" s="63" t="s">
        <v>327</v>
      </c>
    </row>
    <row r="126" spans="1:29" ht="15" x14ac:dyDescent="0.3">
      <c r="A126" s="55">
        <f t="shared" ca="1" si="1"/>
        <v>0.99826336191859788</v>
      </c>
      <c r="B126" s="55" t="s">
        <v>1</v>
      </c>
      <c r="C126" s="53" t="s">
        <v>46</v>
      </c>
      <c r="D126" s="63" t="s">
        <v>334</v>
      </c>
      <c r="E126" s="59" t="s">
        <v>28</v>
      </c>
      <c r="F126" s="53"/>
      <c r="G126" s="62">
        <v>2011</v>
      </c>
      <c r="H126" s="53" t="s">
        <v>12</v>
      </c>
      <c r="I126" s="53" t="s">
        <v>29</v>
      </c>
      <c r="J126" s="53">
        <v>75</v>
      </c>
      <c r="K126" s="63" t="s">
        <v>334</v>
      </c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</row>
    <row r="127" spans="1:29" ht="15" x14ac:dyDescent="0.3">
      <c r="A127" s="55">
        <f t="shared" ca="1" si="1"/>
        <v>0.63028951202637007</v>
      </c>
      <c r="B127" s="55"/>
      <c r="C127" s="53" t="s">
        <v>26</v>
      </c>
      <c r="D127" s="63" t="s">
        <v>335</v>
      </c>
      <c r="E127" s="53" t="s">
        <v>336</v>
      </c>
      <c r="F127" s="53"/>
      <c r="G127" s="62">
        <v>1985</v>
      </c>
      <c r="H127" s="53" t="s">
        <v>69</v>
      </c>
      <c r="I127" s="53"/>
      <c r="J127" s="53">
        <v>160</v>
      </c>
      <c r="K127" s="63" t="s">
        <v>335</v>
      </c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</row>
    <row r="128" spans="1:29" ht="15" x14ac:dyDescent="0.3">
      <c r="A128" s="55">
        <f t="shared" ca="1" si="1"/>
        <v>0.16853646788134824</v>
      </c>
      <c r="B128" s="64"/>
      <c r="C128" s="59" t="s">
        <v>46</v>
      </c>
      <c r="D128" s="61" t="s">
        <v>339</v>
      </c>
      <c r="E128" s="59" t="s">
        <v>340</v>
      </c>
      <c r="F128" s="59"/>
      <c r="G128" s="60">
        <v>1972</v>
      </c>
      <c r="H128" s="59" t="s">
        <v>12</v>
      </c>
      <c r="I128" s="59" t="s">
        <v>63</v>
      </c>
      <c r="J128" s="59">
        <v>120</v>
      </c>
      <c r="K128" s="61" t="s">
        <v>339</v>
      </c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</row>
    <row r="129" spans="1:29" ht="15" x14ac:dyDescent="0.3">
      <c r="A129" s="55">
        <f t="shared" ca="1" si="1"/>
        <v>0.31693538158172041</v>
      </c>
      <c r="B129" s="64" t="s">
        <v>1</v>
      </c>
      <c r="C129" s="59" t="s">
        <v>93</v>
      </c>
      <c r="D129" s="61" t="s">
        <v>341</v>
      </c>
      <c r="E129" s="59" t="s">
        <v>342</v>
      </c>
      <c r="F129" s="59"/>
      <c r="G129" s="60">
        <v>1973</v>
      </c>
      <c r="H129" s="59" t="s">
        <v>13</v>
      </c>
      <c r="I129" s="59"/>
      <c r="J129" s="59">
        <v>150</v>
      </c>
      <c r="K129" s="61" t="s">
        <v>341</v>
      </c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</row>
    <row r="130" spans="1:29" ht="15" x14ac:dyDescent="0.3">
      <c r="A130" s="55">
        <f t="shared" ref="A130:A193" ca="1" si="2">RAND()</f>
        <v>0.53298565782790885</v>
      </c>
      <c r="B130" s="55"/>
      <c r="C130" s="53" t="s">
        <v>46</v>
      </c>
      <c r="D130" s="63" t="s">
        <v>343</v>
      </c>
      <c r="E130" s="53" t="s">
        <v>344</v>
      </c>
      <c r="F130" s="53" t="s">
        <v>345</v>
      </c>
      <c r="G130" s="62">
        <v>1960</v>
      </c>
      <c r="H130" s="53" t="s">
        <v>346</v>
      </c>
      <c r="I130" s="53" t="s">
        <v>13</v>
      </c>
      <c r="J130" s="53">
        <v>140</v>
      </c>
      <c r="K130" s="63" t="s">
        <v>343</v>
      </c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</row>
    <row r="131" spans="1:29" ht="15" x14ac:dyDescent="0.3">
      <c r="A131" s="55">
        <f t="shared" ca="1" si="2"/>
        <v>0.57973513210933814</v>
      </c>
      <c r="B131" s="55"/>
      <c r="C131" s="53" t="s">
        <v>34</v>
      </c>
      <c r="D131" s="63" t="s">
        <v>347</v>
      </c>
      <c r="E131" s="53" t="s">
        <v>348</v>
      </c>
      <c r="F131" s="53"/>
      <c r="G131" s="62">
        <v>2011</v>
      </c>
      <c r="H131" s="53" t="s">
        <v>13</v>
      </c>
      <c r="I131" s="53"/>
      <c r="J131" s="53">
        <v>85</v>
      </c>
      <c r="K131" s="63" t="s">
        <v>347</v>
      </c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</row>
    <row r="132" spans="1:29" s="53" customFormat="1" ht="15" x14ac:dyDescent="0.3">
      <c r="A132" s="55">
        <f t="shared" ca="1" si="2"/>
        <v>0.20292138995682929</v>
      </c>
      <c r="B132" s="55" t="s">
        <v>1</v>
      </c>
      <c r="C132" s="53" t="s">
        <v>46</v>
      </c>
      <c r="D132" s="63" t="s">
        <v>349</v>
      </c>
      <c r="E132" s="53" t="s">
        <v>350</v>
      </c>
      <c r="G132" s="62">
        <v>1962</v>
      </c>
      <c r="H132" s="53" t="s">
        <v>351</v>
      </c>
      <c r="J132" s="53">
        <v>130</v>
      </c>
      <c r="K132" s="63" t="s">
        <v>349</v>
      </c>
    </row>
    <row r="133" spans="1:29" s="53" customFormat="1" ht="15" x14ac:dyDescent="0.3">
      <c r="A133" s="55">
        <f t="shared" ca="1" si="2"/>
        <v>0.98978746866248557</v>
      </c>
      <c r="B133" s="55"/>
      <c r="C133" s="53" t="s">
        <v>46</v>
      </c>
      <c r="D133" s="63" t="s">
        <v>352</v>
      </c>
      <c r="E133" s="53" t="s">
        <v>65</v>
      </c>
      <c r="G133" s="62">
        <v>1956</v>
      </c>
      <c r="H133" s="53" t="s">
        <v>20</v>
      </c>
      <c r="J133" s="53">
        <v>150</v>
      </c>
      <c r="K133" s="63"/>
    </row>
    <row r="134" spans="1:29" s="53" customFormat="1" ht="15" x14ac:dyDescent="0.3">
      <c r="A134" s="55">
        <f t="shared" ca="1" si="2"/>
        <v>0.77516030784375045</v>
      </c>
      <c r="B134" s="55"/>
      <c r="C134" s="53" t="s">
        <v>46</v>
      </c>
      <c r="D134" s="63" t="s">
        <v>353</v>
      </c>
      <c r="E134" s="53" t="s">
        <v>234</v>
      </c>
      <c r="G134" s="62">
        <v>2010</v>
      </c>
      <c r="H134" s="53" t="s">
        <v>12</v>
      </c>
      <c r="I134" s="53" t="s">
        <v>354</v>
      </c>
      <c r="J134" s="53">
        <v>170</v>
      </c>
      <c r="K134" s="63" t="s">
        <v>353</v>
      </c>
    </row>
    <row r="135" spans="1:29" ht="15" x14ac:dyDescent="0.3">
      <c r="A135" s="55">
        <f t="shared" ca="1" si="2"/>
        <v>0.7642847069708435</v>
      </c>
      <c r="B135" s="55" t="s">
        <v>1</v>
      </c>
      <c r="C135" s="53"/>
      <c r="D135" s="63" t="s">
        <v>355</v>
      </c>
      <c r="E135" s="53" t="s">
        <v>356</v>
      </c>
      <c r="F135" s="53" t="s">
        <v>357</v>
      </c>
      <c r="G135" s="62">
        <v>1962</v>
      </c>
      <c r="H135" s="53" t="s">
        <v>63</v>
      </c>
      <c r="I135" s="53"/>
      <c r="J135" s="53"/>
      <c r="K135" s="6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</row>
    <row r="136" spans="1:29" ht="15" x14ac:dyDescent="0.3">
      <c r="A136" s="55">
        <f t="shared" ca="1" si="2"/>
        <v>0.46336157825861413</v>
      </c>
      <c r="B136" s="55"/>
      <c r="C136" s="53" t="s">
        <v>94</v>
      </c>
      <c r="D136" s="63" t="s">
        <v>358</v>
      </c>
      <c r="E136" s="53" t="s">
        <v>16</v>
      </c>
      <c r="F136" s="53"/>
      <c r="G136" s="62">
        <v>2008</v>
      </c>
      <c r="H136" s="53" t="s">
        <v>12</v>
      </c>
      <c r="I136" s="53" t="s">
        <v>13</v>
      </c>
      <c r="J136" s="53">
        <v>95</v>
      </c>
      <c r="K136" s="63" t="s">
        <v>358</v>
      </c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</row>
    <row r="137" spans="1:29" ht="15" x14ac:dyDescent="0.3">
      <c r="A137" s="55">
        <f t="shared" ca="1" si="2"/>
        <v>0.4313141218946922</v>
      </c>
      <c r="B137" s="55"/>
      <c r="C137" s="53" t="s">
        <v>361</v>
      </c>
      <c r="D137" s="63" t="s">
        <v>362</v>
      </c>
      <c r="E137" s="53" t="s">
        <v>363</v>
      </c>
      <c r="F137" s="53"/>
      <c r="G137" s="62">
        <v>1972</v>
      </c>
      <c r="H137" s="53" t="s">
        <v>12</v>
      </c>
      <c r="I137" s="53" t="s">
        <v>261</v>
      </c>
      <c r="J137" s="53">
        <v>70</v>
      </c>
      <c r="K137" s="6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</row>
    <row r="138" spans="1:29" ht="15" x14ac:dyDescent="0.3">
      <c r="A138" s="55">
        <f t="shared" ca="1" si="2"/>
        <v>0.64146618693448199</v>
      </c>
      <c r="B138" s="55"/>
      <c r="C138" s="53"/>
      <c r="D138" s="63" t="s">
        <v>364</v>
      </c>
      <c r="E138" s="53" t="s">
        <v>228</v>
      </c>
      <c r="F138" s="53"/>
      <c r="G138" s="62">
        <v>2011</v>
      </c>
      <c r="H138" s="53" t="s">
        <v>13</v>
      </c>
      <c r="I138" s="53"/>
      <c r="J138" s="53">
        <v>95</v>
      </c>
      <c r="K138" s="6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</row>
    <row r="139" spans="1:29" ht="15" x14ac:dyDescent="0.3">
      <c r="A139" s="55">
        <f t="shared" ca="1" si="2"/>
        <v>0.54544910784689582</v>
      </c>
      <c r="B139" s="55"/>
      <c r="C139" s="53" t="s">
        <v>77</v>
      </c>
      <c r="D139" s="65" t="s">
        <v>559</v>
      </c>
      <c r="E139" s="53" t="s">
        <v>560</v>
      </c>
      <c r="F139" s="53"/>
      <c r="G139" s="62">
        <v>1978</v>
      </c>
      <c r="H139" s="53" t="s">
        <v>118</v>
      </c>
      <c r="I139" s="53" t="s">
        <v>69</v>
      </c>
      <c r="J139" s="53">
        <v>120</v>
      </c>
      <c r="K139" s="65" t="s">
        <v>559</v>
      </c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ht="15" x14ac:dyDescent="0.3">
      <c r="A140" s="55">
        <f t="shared" ca="1" si="2"/>
        <v>6.0399495273819936E-2</v>
      </c>
      <c r="B140" s="55"/>
      <c r="C140" s="53"/>
      <c r="D140" s="63" t="s">
        <v>367</v>
      </c>
      <c r="E140" s="53" t="s">
        <v>368</v>
      </c>
      <c r="F140" s="53"/>
      <c r="G140" s="62">
        <v>2003</v>
      </c>
      <c r="H140" s="53" t="s">
        <v>12</v>
      </c>
      <c r="I140" s="53"/>
      <c r="J140" s="53">
        <v>120</v>
      </c>
      <c r="K140" s="63"/>
    </row>
    <row r="141" spans="1:29" ht="15" x14ac:dyDescent="0.3">
      <c r="A141" s="55">
        <f t="shared" ca="1" si="2"/>
        <v>0.22554304955484006</v>
      </c>
      <c r="B141" s="55"/>
      <c r="C141" s="53" t="s">
        <v>105</v>
      </c>
      <c r="D141" s="63" t="s">
        <v>369</v>
      </c>
      <c r="E141" s="53" t="s">
        <v>370</v>
      </c>
      <c r="F141" s="53"/>
      <c r="G141" s="62">
        <v>2010</v>
      </c>
      <c r="H141" s="53" t="s">
        <v>76</v>
      </c>
      <c r="I141" s="53"/>
      <c r="J141" s="53">
        <v>150</v>
      </c>
      <c r="K141" s="63" t="s">
        <v>369</v>
      </c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</row>
    <row r="142" spans="1:29" ht="15" x14ac:dyDescent="0.3">
      <c r="A142" s="55">
        <f t="shared" ca="1" si="2"/>
        <v>0.46751668139592895</v>
      </c>
      <c r="B142" s="55"/>
      <c r="C142" s="53"/>
      <c r="D142" s="63" t="s">
        <v>371</v>
      </c>
      <c r="E142" s="53" t="s">
        <v>206</v>
      </c>
      <c r="F142" s="53"/>
      <c r="G142" s="62">
        <v>2004</v>
      </c>
      <c r="H142" s="53" t="s">
        <v>12</v>
      </c>
      <c r="I142" s="53" t="s">
        <v>372</v>
      </c>
      <c r="J142" s="53">
        <v>110</v>
      </c>
      <c r="K142" s="63" t="s">
        <v>371</v>
      </c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</row>
    <row r="143" spans="1:29" ht="15" x14ac:dyDescent="0.3">
      <c r="A143" s="55">
        <f t="shared" ca="1" si="2"/>
        <v>0.82972799167503308</v>
      </c>
      <c r="B143" s="55"/>
      <c r="C143" s="53" t="s">
        <v>17</v>
      </c>
      <c r="D143" s="63" t="s">
        <v>374</v>
      </c>
      <c r="E143" s="53" t="s">
        <v>375</v>
      </c>
      <c r="F143" s="53"/>
      <c r="G143" s="62">
        <v>1984</v>
      </c>
      <c r="H143" s="53" t="s">
        <v>59</v>
      </c>
      <c r="I143" s="53"/>
      <c r="J143" s="53">
        <v>110</v>
      </c>
      <c r="K143" s="63" t="s">
        <v>374</v>
      </c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</row>
    <row r="144" spans="1:29" ht="15" x14ac:dyDescent="0.3">
      <c r="A144" s="55">
        <f t="shared" ca="1" si="2"/>
        <v>0.75419848752668461</v>
      </c>
      <c r="B144" s="55" t="s">
        <v>1</v>
      </c>
      <c r="C144" s="53" t="s">
        <v>77</v>
      </c>
      <c r="D144" s="63" t="s">
        <v>376</v>
      </c>
      <c r="E144" s="53" t="s">
        <v>110</v>
      </c>
      <c r="F144" s="53"/>
      <c r="G144" s="62">
        <v>2006</v>
      </c>
      <c r="H144" s="53" t="s">
        <v>12</v>
      </c>
      <c r="I144" s="53"/>
      <c r="J144" s="53">
        <v>105</v>
      </c>
      <c r="K144" s="63" t="s">
        <v>376</v>
      </c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</row>
    <row r="145" spans="1:29" ht="15" x14ac:dyDescent="0.3">
      <c r="A145" s="55">
        <f t="shared" ca="1" si="2"/>
        <v>0.69061353856347962</v>
      </c>
      <c r="B145" s="55"/>
      <c r="C145" s="53" t="s">
        <v>94</v>
      </c>
      <c r="D145" s="61" t="s">
        <v>377</v>
      </c>
      <c r="E145" s="53" t="s">
        <v>228</v>
      </c>
      <c r="F145" s="53"/>
      <c r="G145" s="62">
        <v>2011</v>
      </c>
      <c r="H145" s="53" t="s">
        <v>13</v>
      </c>
      <c r="I145" s="53" t="s">
        <v>76</v>
      </c>
      <c r="J145" s="53">
        <v>75</v>
      </c>
      <c r="K145" s="61" t="s">
        <v>377</v>
      </c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</row>
    <row r="146" spans="1:29" ht="15" x14ac:dyDescent="0.3">
      <c r="A146" s="55">
        <f t="shared" ca="1" si="2"/>
        <v>0.72720836842377845</v>
      </c>
      <c r="B146" s="55"/>
      <c r="C146" s="53" t="s">
        <v>37</v>
      </c>
      <c r="D146" s="63" t="s">
        <v>378</v>
      </c>
      <c r="E146" s="53" t="s">
        <v>158</v>
      </c>
      <c r="F146" s="53" t="s">
        <v>379</v>
      </c>
      <c r="G146" s="62">
        <v>1999</v>
      </c>
      <c r="H146" s="53" t="s">
        <v>12</v>
      </c>
      <c r="I146" s="53" t="s">
        <v>43</v>
      </c>
      <c r="J146" s="53">
        <v>80</v>
      </c>
      <c r="K146" s="63" t="s">
        <v>378</v>
      </c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</row>
    <row r="147" spans="1:29" ht="15" x14ac:dyDescent="0.3">
      <c r="A147" s="55">
        <f t="shared" ca="1" si="2"/>
        <v>0.27214057389091806</v>
      </c>
      <c r="B147" s="55" t="s">
        <v>1</v>
      </c>
      <c r="C147" s="53" t="s">
        <v>46</v>
      </c>
      <c r="D147" s="63" t="s">
        <v>382</v>
      </c>
      <c r="E147" s="59" t="s">
        <v>383</v>
      </c>
      <c r="F147" s="53"/>
      <c r="G147" s="62">
        <v>1961</v>
      </c>
      <c r="H147" s="53" t="s">
        <v>69</v>
      </c>
      <c r="I147" s="53" t="s">
        <v>76</v>
      </c>
      <c r="J147" s="53"/>
      <c r="K147" s="6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</row>
    <row r="148" spans="1:29" ht="15" x14ac:dyDescent="0.3">
      <c r="A148" s="55">
        <f t="shared" ca="1" si="2"/>
        <v>0.56660380392088672</v>
      </c>
      <c r="B148" s="55"/>
      <c r="C148" s="53" t="s">
        <v>37</v>
      </c>
      <c r="D148" s="63" t="s">
        <v>384</v>
      </c>
      <c r="E148" s="53" t="s">
        <v>385</v>
      </c>
      <c r="F148" s="53"/>
      <c r="G148" s="62">
        <v>2002</v>
      </c>
      <c r="H148" s="53" t="s">
        <v>70</v>
      </c>
      <c r="I148" s="53"/>
      <c r="J148" s="53">
        <v>90</v>
      </c>
      <c r="K148" s="63" t="s">
        <v>384</v>
      </c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</row>
    <row r="149" spans="1:29" ht="15" x14ac:dyDescent="0.3">
      <c r="A149" s="55">
        <f t="shared" ca="1" si="2"/>
        <v>0.94390474825330051</v>
      </c>
      <c r="B149" s="55"/>
      <c r="C149" s="53" t="s">
        <v>37</v>
      </c>
      <c r="D149" s="63" t="s">
        <v>386</v>
      </c>
      <c r="E149" s="59" t="s">
        <v>387</v>
      </c>
      <c r="F149" s="53"/>
      <c r="G149" s="62">
        <v>1972</v>
      </c>
      <c r="H149" s="53" t="s">
        <v>13</v>
      </c>
      <c r="I149" s="53"/>
      <c r="J149" s="53">
        <v>120</v>
      </c>
      <c r="K149" s="63" t="s">
        <v>386</v>
      </c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</row>
    <row r="150" spans="1:29" ht="15" x14ac:dyDescent="0.3">
      <c r="A150" s="55">
        <f t="shared" ca="1" si="2"/>
        <v>0.53398798401191561</v>
      </c>
      <c r="B150" s="55"/>
      <c r="C150" s="53" t="s">
        <v>37</v>
      </c>
      <c r="D150" s="63" t="s">
        <v>566</v>
      </c>
      <c r="E150" s="53" t="s">
        <v>389</v>
      </c>
      <c r="F150" s="53"/>
      <c r="G150" s="62">
        <v>1969</v>
      </c>
      <c r="H150" s="53" t="s">
        <v>13</v>
      </c>
      <c r="I150" s="53"/>
      <c r="J150" s="53">
        <v>120</v>
      </c>
      <c r="K150" s="63" t="s">
        <v>388</v>
      </c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</row>
    <row r="151" spans="1:29" ht="15" x14ac:dyDescent="0.3">
      <c r="A151" s="55">
        <f t="shared" ca="1" si="2"/>
        <v>0.43586156516669294</v>
      </c>
      <c r="B151" s="55" t="s">
        <v>1</v>
      </c>
      <c r="C151" s="53"/>
      <c r="D151" s="63" t="s">
        <v>390</v>
      </c>
      <c r="E151" s="59" t="s">
        <v>391</v>
      </c>
      <c r="F151" s="53"/>
      <c r="G151" s="62">
        <v>1978</v>
      </c>
      <c r="H151" s="53" t="s">
        <v>12</v>
      </c>
      <c r="I151" s="53"/>
      <c r="J151" s="53"/>
      <c r="K151" s="63" t="s">
        <v>390</v>
      </c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</row>
    <row r="152" spans="1:29" ht="15" x14ac:dyDescent="0.3">
      <c r="A152" s="55">
        <f t="shared" ca="1" si="2"/>
        <v>0.93867730003052396</v>
      </c>
      <c r="B152" s="55"/>
      <c r="C152" s="53" t="s">
        <v>21</v>
      </c>
      <c r="D152" s="63" t="s">
        <v>555</v>
      </c>
      <c r="E152" s="53" t="s">
        <v>393</v>
      </c>
      <c r="F152" s="53"/>
      <c r="G152" s="62">
        <v>2000</v>
      </c>
      <c r="H152" s="53" t="s">
        <v>12</v>
      </c>
      <c r="I152" s="53" t="s">
        <v>29</v>
      </c>
      <c r="J152" s="53">
        <v>85</v>
      </c>
      <c r="K152" s="63" t="s">
        <v>392</v>
      </c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</row>
    <row r="153" spans="1:29" ht="15" x14ac:dyDescent="0.3">
      <c r="A153" s="55">
        <f t="shared" ca="1" si="2"/>
        <v>0.27531711284016014</v>
      </c>
      <c r="B153" s="55"/>
      <c r="C153" s="53"/>
      <c r="D153" s="63" t="s">
        <v>394</v>
      </c>
      <c r="E153" s="53" t="s">
        <v>28</v>
      </c>
      <c r="F153" s="53"/>
      <c r="G153" s="62">
        <v>2005</v>
      </c>
      <c r="H153" s="53" t="s">
        <v>12</v>
      </c>
      <c r="I153" s="53" t="s">
        <v>29</v>
      </c>
      <c r="J153" s="53">
        <v>80</v>
      </c>
      <c r="K153" s="63" t="s">
        <v>394</v>
      </c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</row>
    <row r="154" spans="1:29" s="53" customFormat="1" ht="15" x14ac:dyDescent="0.3">
      <c r="A154" s="55">
        <f t="shared" ca="1" si="2"/>
        <v>0.79640840809930635</v>
      </c>
      <c r="B154" s="55"/>
      <c r="C154" s="53" t="s">
        <v>37</v>
      </c>
      <c r="D154" s="63" t="s">
        <v>397</v>
      </c>
      <c r="E154" s="53" t="s">
        <v>398</v>
      </c>
      <c r="G154" s="62">
        <v>1987</v>
      </c>
      <c r="H154" s="53" t="s">
        <v>12</v>
      </c>
      <c r="J154" s="53">
        <v>120</v>
      </c>
      <c r="K154" s="63" t="s">
        <v>397</v>
      </c>
    </row>
    <row r="155" spans="1:29" ht="15" x14ac:dyDescent="0.3">
      <c r="A155" s="55">
        <f t="shared" ca="1" si="2"/>
        <v>0.33906360734723684</v>
      </c>
      <c r="B155" s="55"/>
      <c r="C155" s="53" t="s">
        <v>10</v>
      </c>
      <c r="D155" s="63" t="s">
        <v>399</v>
      </c>
      <c r="E155" s="53" t="s">
        <v>400</v>
      </c>
      <c r="F155" s="53"/>
      <c r="G155" s="62">
        <v>1959</v>
      </c>
      <c r="H155" s="53" t="s">
        <v>59</v>
      </c>
      <c r="I155" s="53"/>
      <c r="J155" s="53">
        <v>150</v>
      </c>
      <c r="K155" s="6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</row>
    <row r="156" spans="1:29" ht="15" x14ac:dyDescent="0.3">
      <c r="A156" s="55">
        <f t="shared" ca="1" si="2"/>
        <v>0.14173224411280128</v>
      </c>
      <c r="B156" s="55"/>
      <c r="C156" s="53"/>
      <c r="D156" s="63" t="s">
        <v>403</v>
      </c>
      <c r="E156" s="53" t="s">
        <v>64</v>
      </c>
      <c r="F156" s="53"/>
      <c r="G156" s="62">
        <v>1992</v>
      </c>
      <c r="H156" s="53" t="s">
        <v>12</v>
      </c>
      <c r="I156" s="53" t="s">
        <v>33</v>
      </c>
      <c r="J156" s="53">
        <v>80</v>
      </c>
      <c r="K156" s="63" t="s">
        <v>403</v>
      </c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</row>
    <row r="157" spans="1:29" ht="15" x14ac:dyDescent="0.3">
      <c r="A157" s="55">
        <f t="shared" ca="1" si="2"/>
        <v>0.76541756525806748</v>
      </c>
      <c r="B157" s="55"/>
      <c r="C157" s="53"/>
      <c r="D157" s="63" t="s">
        <v>404</v>
      </c>
      <c r="E157" s="53" t="s">
        <v>350</v>
      </c>
      <c r="F157" s="53"/>
      <c r="G157" s="62">
        <v>1966</v>
      </c>
      <c r="H157" s="53" t="s">
        <v>13</v>
      </c>
      <c r="I157" s="53"/>
      <c r="J157" s="53">
        <v>120</v>
      </c>
      <c r="K157" s="63"/>
    </row>
    <row r="158" spans="1:29" ht="15" x14ac:dyDescent="0.3">
      <c r="A158" s="55">
        <f t="shared" ca="1" si="2"/>
        <v>0.64339721359650148</v>
      </c>
      <c r="B158" s="55"/>
      <c r="C158" s="53" t="s">
        <v>93</v>
      </c>
      <c r="D158" s="63" t="s">
        <v>407</v>
      </c>
      <c r="E158" s="53" t="s">
        <v>62</v>
      </c>
      <c r="F158" s="53"/>
      <c r="G158" s="62">
        <v>1970</v>
      </c>
      <c r="H158" s="53" t="s">
        <v>12</v>
      </c>
      <c r="I158" s="53" t="s">
        <v>63</v>
      </c>
      <c r="J158" s="53">
        <v>90</v>
      </c>
      <c r="K158" s="63" t="s">
        <v>407</v>
      </c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</row>
    <row r="159" spans="1:29" ht="15" x14ac:dyDescent="0.3">
      <c r="A159" s="55">
        <f t="shared" ca="1" si="2"/>
        <v>0.42326745981629188</v>
      </c>
      <c r="B159" s="55"/>
      <c r="C159" s="53" t="s">
        <v>21</v>
      </c>
      <c r="D159" s="63" t="s">
        <v>408</v>
      </c>
      <c r="E159" s="53" t="s">
        <v>409</v>
      </c>
      <c r="F159" s="53"/>
      <c r="G159" s="62">
        <v>2009</v>
      </c>
      <c r="H159" s="53" t="s">
        <v>12</v>
      </c>
      <c r="I159" s="53" t="s">
        <v>63</v>
      </c>
      <c r="J159" s="53">
        <v>145</v>
      </c>
      <c r="K159" s="63" t="s">
        <v>408</v>
      </c>
    </row>
    <row r="160" spans="1:29" ht="15" x14ac:dyDescent="0.3">
      <c r="A160" s="55">
        <f t="shared" ca="1" si="2"/>
        <v>0.96704608951281756</v>
      </c>
      <c r="B160" s="55"/>
      <c r="C160" s="53" t="s">
        <v>14</v>
      </c>
      <c r="D160" s="63" t="s">
        <v>412</v>
      </c>
      <c r="E160" s="53" t="s">
        <v>413</v>
      </c>
      <c r="F160" s="53"/>
      <c r="G160" s="62">
        <v>2002</v>
      </c>
      <c r="H160" s="53" t="s">
        <v>12</v>
      </c>
      <c r="I160" s="53" t="s">
        <v>66</v>
      </c>
      <c r="J160" s="53">
        <v>80</v>
      </c>
      <c r="K160" s="63" t="s">
        <v>412</v>
      </c>
    </row>
    <row r="161" spans="1:29" ht="15" x14ac:dyDescent="0.3">
      <c r="A161" s="55">
        <f t="shared" ca="1" si="2"/>
        <v>0.56508441983585767</v>
      </c>
      <c r="B161" s="64"/>
      <c r="C161" s="59" t="s">
        <v>46</v>
      </c>
      <c r="D161" s="61" t="s">
        <v>414</v>
      </c>
      <c r="E161" s="59" t="s">
        <v>126</v>
      </c>
      <c r="F161" s="59"/>
      <c r="G161" s="60">
        <v>2011</v>
      </c>
      <c r="H161" s="59" t="s">
        <v>70</v>
      </c>
      <c r="I161" s="59" t="s">
        <v>13</v>
      </c>
      <c r="J161" s="59">
        <v>85</v>
      </c>
      <c r="K161" s="61" t="s">
        <v>414</v>
      </c>
    </row>
    <row r="162" spans="1:29" ht="15" x14ac:dyDescent="0.3">
      <c r="A162" s="55">
        <f t="shared" ca="1" si="2"/>
        <v>0.87948344420619073</v>
      </c>
      <c r="B162" s="55"/>
      <c r="C162" s="53"/>
      <c r="D162" s="63" t="s">
        <v>417</v>
      </c>
      <c r="E162" s="53" t="s">
        <v>28</v>
      </c>
      <c r="F162" s="53"/>
      <c r="G162" s="62">
        <v>2002</v>
      </c>
      <c r="H162" s="53" t="s">
        <v>12</v>
      </c>
      <c r="I162" s="53" t="s">
        <v>29</v>
      </c>
      <c r="J162" s="53">
        <v>70</v>
      </c>
      <c r="K162" s="63" t="s">
        <v>417</v>
      </c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</row>
    <row r="163" spans="1:29" ht="15" x14ac:dyDescent="0.3">
      <c r="A163" s="55">
        <f t="shared" ca="1" si="2"/>
        <v>0.37317700876691728</v>
      </c>
      <c r="B163" s="55"/>
      <c r="C163" s="53" t="s">
        <v>17</v>
      </c>
      <c r="D163" s="63" t="s">
        <v>418</v>
      </c>
      <c r="E163" s="53" t="s">
        <v>62</v>
      </c>
      <c r="F163" s="53"/>
      <c r="G163" s="62">
        <v>1964</v>
      </c>
      <c r="H163" s="53" t="s">
        <v>63</v>
      </c>
      <c r="I163" s="53"/>
      <c r="J163" s="53">
        <v>75</v>
      </c>
      <c r="K163" s="63" t="s">
        <v>418</v>
      </c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</row>
    <row r="164" spans="1:29" ht="15" x14ac:dyDescent="0.3">
      <c r="A164" s="55">
        <f t="shared" ca="1" si="2"/>
        <v>0.89243317589262139</v>
      </c>
      <c r="B164" s="55"/>
      <c r="C164" s="53" t="s">
        <v>37</v>
      </c>
      <c r="D164" s="63" t="s">
        <v>419</v>
      </c>
      <c r="E164" s="59" t="s">
        <v>420</v>
      </c>
      <c r="F164" s="53"/>
      <c r="G164" s="62">
        <v>1980</v>
      </c>
      <c r="H164" s="53" t="s">
        <v>70</v>
      </c>
      <c r="I164" s="53"/>
      <c r="J164" s="53">
        <v>80</v>
      </c>
      <c r="K164" s="63" t="s">
        <v>419</v>
      </c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</row>
    <row r="165" spans="1:29" ht="15" x14ac:dyDescent="0.3">
      <c r="A165" s="55">
        <f t="shared" ca="1" si="2"/>
        <v>0.72738922679381035</v>
      </c>
      <c r="B165" s="55"/>
      <c r="C165" s="53" t="s">
        <v>46</v>
      </c>
      <c r="D165" s="63" t="s">
        <v>421</v>
      </c>
      <c r="E165" s="53" t="s">
        <v>92</v>
      </c>
      <c r="F165" s="53"/>
      <c r="G165" s="62">
        <v>1964</v>
      </c>
      <c r="H165" s="53" t="s">
        <v>63</v>
      </c>
      <c r="I165" s="53"/>
      <c r="J165" s="53">
        <v>160</v>
      </c>
      <c r="K165" s="63" t="s">
        <v>421</v>
      </c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</row>
    <row r="166" spans="1:29" ht="15" x14ac:dyDescent="0.3">
      <c r="A166" s="55">
        <f t="shared" ca="1" si="2"/>
        <v>0.30279955485385934</v>
      </c>
      <c r="B166" s="55"/>
      <c r="C166" s="53" t="s">
        <v>14</v>
      </c>
      <c r="D166" s="63" t="s">
        <v>422</v>
      </c>
      <c r="E166" s="53" t="s">
        <v>423</v>
      </c>
      <c r="F166" s="53"/>
      <c r="G166" s="62">
        <v>2007</v>
      </c>
      <c r="H166" s="53" t="s">
        <v>63</v>
      </c>
      <c r="I166" s="53" t="s">
        <v>43</v>
      </c>
      <c r="J166" s="53">
        <v>120</v>
      </c>
      <c r="K166" s="63" t="s">
        <v>422</v>
      </c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</row>
    <row r="167" spans="1:29" ht="15" x14ac:dyDescent="0.3">
      <c r="A167" s="55">
        <f t="shared" ca="1" si="2"/>
        <v>0.5118632209423577</v>
      </c>
      <c r="B167" s="64" t="s">
        <v>1</v>
      </c>
      <c r="C167" s="59" t="s">
        <v>14</v>
      </c>
      <c r="D167" s="61" t="s">
        <v>424</v>
      </c>
      <c r="E167" s="59" t="s">
        <v>194</v>
      </c>
      <c r="F167" s="59"/>
      <c r="G167" s="60">
        <v>1961</v>
      </c>
      <c r="H167" s="59" t="s">
        <v>59</v>
      </c>
      <c r="I167" s="59"/>
      <c r="J167" s="59"/>
      <c r="K167" s="61" t="s">
        <v>424</v>
      </c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</row>
    <row r="168" spans="1:29" ht="15" x14ac:dyDescent="0.3">
      <c r="A168" s="55">
        <f t="shared" ca="1" si="2"/>
        <v>0.60358553540518933</v>
      </c>
      <c r="B168" s="64" t="s">
        <v>1</v>
      </c>
      <c r="C168" s="59" t="s">
        <v>21</v>
      </c>
      <c r="D168" s="61" t="s">
        <v>425</v>
      </c>
      <c r="E168" s="59" t="s">
        <v>426</v>
      </c>
      <c r="F168" s="59"/>
      <c r="G168" s="60">
        <v>1987</v>
      </c>
      <c r="H168" s="59" t="s">
        <v>69</v>
      </c>
      <c r="I168" s="59"/>
      <c r="J168" s="59"/>
      <c r="K168" s="61" t="s">
        <v>425</v>
      </c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</row>
    <row r="169" spans="1:29" ht="15" x14ac:dyDescent="0.3">
      <c r="A169" s="55">
        <f t="shared" ca="1" si="2"/>
        <v>0.60931698998781703</v>
      </c>
      <c r="B169" s="55"/>
      <c r="C169" s="53"/>
      <c r="D169" s="63" t="s">
        <v>429</v>
      </c>
      <c r="E169" s="53" t="s">
        <v>338</v>
      </c>
      <c r="F169" s="53"/>
      <c r="G169" s="62">
        <v>2014</v>
      </c>
      <c r="H169" s="53" t="s">
        <v>12</v>
      </c>
      <c r="I169" s="53" t="s">
        <v>430</v>
      </c>
      <c r="J169" s="53">
        <v>85</v>
      </c>
      <c r="K169" s="63" t="s">
        <v>429</v>
      </c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</row>
    <row r="170" spans="1:29" ht="15" x14ac:dyDescent="0.3">
      <c r="A170" s="55">
        <f t="shared" ca="1" si="2"/>
        <v>0.42665211489770327</v>
      </c>
      <c r="B170" s="55"/>
      <c r="C170" s="53"/>
      <c r="D170" s="63" t="s">
        <v>431</v>
      </c>
      <c r="E170" s="53" t="s">
        <v>206</v>
      </c>
      <c r="F170" s="53"/>
      <c r="G170" s="62">
        <v>2004</v>
      </c>
      <c r="H170" s="53" t="s">
        <v>12</v>
      </c>
      <c r="I170" s="53" t="s">
        <v>13</v>
      </c>
      <c r="J170" s="53">
        <v>95</v>
      </c>
      <c r="K170" s="63" t="s">
        <v>431</v>
      </c>
    </row>
    <row r="171" spans="1:29" ht="15" x14ac:dyDescent="0.3">
      <c r="A171" s="55">
        <f t="shared" ca="1" si="2"/>
        <v>0.76436552675742686</v>
      </c>
      <c r="B171" s="55"/>
      <c r="C171" s="53"/>
      <c r="D171" s="63" t="s">
        <v>578</v>
      </c>
      <c r="E171" s="53" t="s">
        <v>579</v>
      </c>
      <c r="F171" s="53"/>
      <c r="G171" s="62">
        <v>1960</v>
      </c>
      <c r="H171" s="53" t="s">
        <v>76</v>
      </c>
      <c r="I171" s="53"/>
      <c r="J171" s="53">
        <v>130</v>
      </c>
      <c r="K171" s="63" t="s">
        <v>578</v>
      </c>
    </row>
    <row r="172" spans="1:29" ht="15" x14ac:dyDescent="0.3">
      <c r="A172" s="55">
        <f t="shared" ca="1" si="2"/>
        <v>0.75349460250658962</v>
      </c>
      <c r="B172" s="55" t="s">
        <v>1</v>
      </c>
      <c r="C172" s="53"/>
      <c r="D172" s="63" t="s">
        <v>432</v>
      </c>
      <c r="E172" s="53" t="s">
        <v>433</v>
      </c>
      <c r="F172" s="53" t="s">
        <v>434</v>
      </c>
      <c r="G172" s="62">
        <v>1984</v>
      </c>
      <c r="H172" s="53" t="s">
        <v>13</v>
      </c>
      <c r="I172" s="53" t="s">
        <v>33</v>
      </c>
      <c r="J172" s="53"/>
      <c r="K172" s="63" t="s">
        <v>432</v>
      </c>
    </row>
    <row r="173" spans="1:29" ht="15" x14ac:dyDescent="0.3">
      <c r="A173" s="55">
        <f t="shared" ca="1" si="2"/>
        <v>0.57740011985771644</v>
      </c>
      <c r="B173" s="55"/>
      <c r="C173" s="53" t="s">
        <v>17</v>
      </c>
      <c r="D173" s="63" t="s">
        <v>435</v>
      </c>
      <c r="E173" s="53" t="s">
        <v>340</v>
      </c>
      <c r="F173" s="53"/>
      <c r="G173" s="62">
        <v>1972</v>
      </c>
      <c r="H173" s="53" t="s">
        <v>12</v>
      </c>
      <c r="I173" s="53" t="s">
        <v>63</v>
      </c>
      <c r="J173" s="53">
        <v>130</v>
      </c>
      <c r="K173" s="63" t="s">
        <v>435</v>
      </c>
    </row>
    <row r="174" spans="1:29" ht="15" x14ac:dyDescent="0.3">
      <c r="A174" s="55">
        <f t="shared" ca="1" si="2"/>
        <v>0.26822477057878935</v>
      </c>
      <c r="B174" s="55"/>
      <c r="C174" s="53"/>
      <c r="D174" s="63" t="s">
        <v>436</v>
      </c>
      <c r="E174" s="53" t="s">
        <v>437</v>
      </c>
      <c r="F174" s="53"/>
      <c r="G174" s="62">
        <v>2011</v>
      </c>
      <c r="H174" s="53" t="s">
        <v>360</v>
      </c>
      <c r="I174" s="53"/>
      <c r="J174" s="53">
        <v>130</v>
      </c>
      <c r="K174" s="6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</row>
    <row r="175" spans="1:29" ht="15" x14ac:dyDescent="0.3">
      <c r="A175" s="55">
        <f t="shared" ca="1" si="2"/>
        <v>0.98175984705263775</v>
      </c>
      <c r="B175" s="64"/>
      <c r="C175" s="59" t="s">
        <v>21</v>
      </c>
      <c r="D175" s="61" t="s">
        <v>438</v>
      </c>
      <c r="E175" s="59" t="s">
        <v>439</v>
      </c>
      <c r="F175" s="59"/>
      <c r="G175" s="60">
        <v>2001</v>
      </c>
      <c r="H175" s="59" t="s">
        <v>12</v>
      </c>
      <c r="I175" s="59" t="s">
        <v>235</v>
      </c>
      <c r="J175" s="59">
        <v>90</v>
      </c>
      <c r="K175" s="61" t="s">
        <v>438</v>
      </c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</row>
    <row r="176" spans="1:29" ht="15" x14ac:dyDescent="0.3">
      <c r="A176" s="55">
        <f t="shared" ca="1" si="2"/>
        <v>0.26330846398077046</v>
      </c>
      <c r="B176" s="64"/>
      <c r="C176" s="59" t="s">
        <v>148</v>
      </c>
      <c r="D176" s="61" t="s">
        <v>440</v>
      </c>
      <c r="E176" s="59" t="s">
        <v>441</v>
      </c>
      <c r="F176" s="59"/>
      <c r="G176" s="60">
        <v>1972</v>
      </c>
      <c r="H176" s="59" t="s">
        <v>13</v>
      </c>
      <c r="I176" s="59"/>
      <c r="J176" s="59">
        <v>95</v>
      </c>
      <c r="K176" s="61" t="s">
        <v>440</v>
      </c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</row>
    <row r="177" spans="1:29" ht="15" x14ac:dyDescent="0.3">
      <c r="A177" s="55">
        <f t="shared" ca="1" si="2"/>
        <v>0.92977491480531482</v>
      </c>
      <c r="B177" s="55"/>
      <c r="C177" s="53"/>
      <c r="D177" s="65" t="s">
        <v>545</v>
      </c>
      <c r="E177" s="53" t="s">
        <v>90</v>
      </c>
      <c r="F177" s="53"/>
      <c r="G177" s="62">
        <v>1961</v>
      </c>
      <c r="H177" s="53" t="s">
        <v>12</v>
      </c>
      <c r="I177" s="53"/>
      <c r="J177" s="53">
        <v>130</v>
      </c>
      <c r="K177" s="63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</row>
    <row r="178" spans="1:29" ht="15" x14ac:dyDescent="0.3">
      <c r="A178" s="55">
        <f t="shared" ca="1" si="2"/>
        <v>0.18391246188287635</v>
      </c>
      <c r="B178" s="55" t="s">
        <v>1</v>
      </c>
      <c r="C178" s="53"/>
      <c r="D178" s="63" t="s">
        <v>444</v>
      </c>
      <c r="E178" s="53" t="s">
        <v>110</v>
      </c>
      <c r="F178" s="53"/>
      <c r="G178" s="62">
        <v>1991</v>
      </c>
      <c r="H178" s="53" t="s">
        <v>29</v>
      </c>
      <c r="I178" s="53"/>
      <c r="J178" s="53"/>
      <c r="K178" s="63"/>
    </row>
    <row r="179" spans="1:29" ht="15" x14ac:dyDescent="0.3">
      <c r="A179" s="55">
        <f t="shared" ca="1" si="2"/>
        <v>2.8423417261182915E-2</v>
      </c>
      <c r="B179" s="55" t="s">
        <v>1</v>
      </c>
      <c r="C179" s="53"/>
      <c r="D179" s="65" t="s">
        <v>531</v>
      </c>
      <c r="E179" s="53" t="s">
        <v>532</v>
      </c>
      <c r="F179" s="53"/>
      <c r="G179" s="62">
        <v>1991</v>
      </c>
      <c r="H179" s="53" t="s">
        <v>20</v>
      </c>
      <c r="I179" s="53"/>
      <c r="J179" s="53"/>
      <c r="K179" s="63"/>
    </row>
    <row r="180" spans="1:29" ht="15" x14ac:dyDescent="0.3">
      <c r="A180" s="55">
        <f t="shared" ca="1" si="2"/>
        <v>0.28081670732200492</v>
      </c>
      <c r="B180" s="55"/>
      <c r="C180" s="53"/>
      <c r="D180" s="63" t="s">
        <v>445</v>
      </c>
      <c r="E180" s="53" t="s">
        <v>446</v>
      </c>
      <c r="F180" s="53"/>
      <c r="G180" s="62">
        <v>2001</v>
      </c>
      <c r="H180" s="53" t="s">
        <v>20</v>
      </c>
      <c r="I180" s="53"/>
      <c r="J180" s="53">
        <v>60</v>
      </c>
      <c r="K180" s="63" t="s">
        <v>445</v>
      </c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</row>
    <row r="181" spans="1:29" ht="15" x14ac:dyDescent="0.3">
      <c r="A181" s="55">
        <f t="shared" ca="1" si="2"/>
        <v>0.55459004308105497</v>
      </c>
      <c r="B181" s="55" t="s">
        <v>1</v>
      </c>
      <c r="D181" s="63" t="s">
        <v>449</v>
      </c>
      <c r="E181" s="53" t="s">
        <v>342</v>
      </c>
      <c r="F181" s="53"/>
      <c r="G181" s="62">
        <v>1983</v>
      </c>
      <c r="H181" s="53" t="s">
        <v>12</v>
      </c>
      <c r="I181" s="53" t="s">
        <v>13</v>
      </c>
      <c r="J181" s="53">
        <v>130</v>
      </c>
      <c r="K181" s="63" t="s">
        <v>449</v>
      </c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</row>
    <row r="182" spans="1:29" ht="15" x14ac:dyDescent="0.3">
      <c r="A182" s="55">
        <f t="shared" ca="1" si="2"/>
        <v>0.85050882351378865</v>
      </c>
      <c r="B182" s="55"/>
      <c r="C182" s="53"/>
      <c r="D182" s="63" t="s">
        <v>450</v>
      </c>
      <c r="E182" s="53" t="s">
        <v>184</v>
      </c>
      <c r="F182" s="53"/>
      <c r="G182" s="62">
        <v>2010</v>
      </c>
      <c r="H182" s="53" t="s">
        <v>13</v>
      </c>
      <c r="I182" s="53" t="s">
        <v>185</v>
      </c>
      <c r="J182" s="53">
        <v>85</v>
      </c>
      <c r="K182" s="63" t="s">
        <v>450</v>
      </c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</row>
    <row r="183" spans="1:29" ht="15" x14ac:dyDescent="0.3">
      <c r="A183" s="55">
        <f t="shared" ca="1" si="2"/>
        <v>0.37087290577812526</v>
      </c>
      <c r="B183" s="55" t="s">
        <v>1</v>
      </c>
      <c r="C183" s="53" t="s">
        <v>77</v>
      </c>
      <c r="D183" s="63" t="s">
        <v>451</v>
      </c>
      <c r="E183" s="53" t="s">
        <v>452</v>
      </c>
      <c r="F183" s="53"/>
      <c r="G183" s="62">
        <v>1969</v>
      </c>
      <c r="H183" s="53" t="s">
        <v>13</v>
      </c>
      <c r="I183" s="53"/>
      <c r="J183" s="53">
        <v>120</v>
      </c>
      <c r="K183" s="63" t="s">
        <v>451</v>
      </c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</row>
    <row r="184" spans="1:29" ht="15" x14ac:dyDescent="0.3">
      <c r="A184" s="55">
        <f t="shared" ca="1" si="2"/>
        <v>0.70119387160017099</v>
      </c>
      <c r="B184" s="55"/>
      <c r="C184" s="53" t="s">
        <v>93</v>
      </c>
      <c r="D184" s="63" t="s">
        <v>453</v>
      </c>
      <c r="E184" s="53" t="s">
        <v>28</v>
      </c>
      <c r="F184" s="53"/>
      <c r="G184" s="62">
        <v>2008</v>
      </c>
      <c r="H184" s="53" t="s">
        <v>13</v>
      </c>
      <c r="I184" s="53" t="s">
        <v>454</v>
      </c>
      <c r="J184" s="53">
        <v>135</v>
      </c>
      <c r="K184" s="63" t="s">
        <v>453</v>
      </c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</row>
    <row r="185" spans="1:29" s="53" customFormat="1" ht="15" x14ac:dyDescent="0.3">
      <c r="A185" s="55">
        <f t="shared" ca="1" si="2"/>
        <v>0.95652708395654606</v>
      </c>
      <c r="B185" s="55"/>
      <c r="C185" s="53" t="s">
        <v>71</v>
      </c>
      <c r="D185" s="61" t="s">
        <v>455</v>
      </c>
      <c r="E185" s="59" t="s">
        <v>456</v>
      </c>
      <c r="F185" s="59"/>
      <c r="G185" s="60">
        <v>2013</v>
      </c>
      <c r="H185" s="59" t="s">
        <v>360</v>
      </c>
      <c r="I185" s="59"/>
      <c r="J185" s="59">
        <v>125</v>
      </c>
      <c r="K185" s="61"/>
    </row>
    <row r="186" spans="1:29" ht="15" x14ac:dyDescent="0.3">
      <c r="A186" s="55">
        <f t="shared" ca="1" si="2"/>
        <v>0.38910620896322312</v>
      </c>
      <c r="B186" s="55"/>
      <c r="C186" s="53"/>
      <c r="D186" s="63" t="s">
        <v>457</v>
      </c>
      <c r="E186" s="53" t="s">
        <v>208</v>
      </c>
      <c r="F186" s="53"/>
      <c r="G186" s="62">
        <v>2005</v>
      </c>
      <c r="H186" s="53" t="s">
        <v>12</v>
      </c>
      <c r="I186" s="53" t="s">
        <v>29</v>
      </c>
      <c r="J186" s="53">
        <v>85</v>
      </c>
      <c r="K186" s="63" t="s">
        <v>457</v>
      </c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</row>
    <row r="187" spans="1:29" ht="15" x14ac:dyDescent="0.3">
      <c r="A187" s="55">
        <f t="shared" ca="1" si="2"/>
        <v>0.47689589112163699</v>
      </c>
      <c r="B187" s="55"/>
      <c r="C187" s="53"/>
      <c r="D187" s="65" t="s">
        <v>533</v>
      </c>
      <c r="E187" s="53" t="s">
        <v>534</v>
      </c>
      <c r="F187" s="53"/>
      <c r="G187" s="62">
        <v>2019</v>
      </c>
      <c r="H187" s="53" t="s">
        <v>13</v>
      </c>
      <c r="I187" s="53"/>
      <c r="J187" s="53">
        <v>100</v>
      </c>
      <c r="K187" s="63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</row>
    <row r="188" spans="1:29" s="53" customFormat="1" ht="15" x14ac:dyDescent="0.3">
      <c r="A188" s="55">
        <f t="shared" ca="1" si="2"/>
        <v>0.12824651707764267</v>
      </c>
      <c r="B188" s="55" t="s">
        <v>1</v>
      </c>
      <c r="C188" s="53" t="s">
        <v>148</v>
      </c>
      <c r="D188" s="63" t="s">
        <v>458</v>
      </c>
      <c r="E188" s="53" t="s">
        <v>459</v>
      </c>
      <c r="G188" s="62">
        <v>2007</v>
      </c>
      <c r="H188" s="53" t="s">
        <v>13</v>
      </c>
      <c r="I188" s="53" t="s">
        <v>20</v>
      </c>
      <c r="K188" s="63" t="s">
        <v>458</v>
      </c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</row>
    <row r="189" spans="1:29" ht="15" x14ac:dyDescent="0.3">
      <c r="A189" s="55">
        <f t="shared" ca="1" si="2"/>
        <v>0.23642162721798832</v>
      </c>
      <c r="B189" s="64"/>
      <c r="C189" s="59" t="s">
        <v>37</v>
      </c>
      <c r="D189" s="61" t="s">
        <v>460</v>
      </c>
      <c r="E189" s="59" t="s">
        <v>274</v>
      </c>
      <c r="F189" s="59"/>
      <c r="G189" s="60">
        <v>1967</v>
      </c>
      <c r="H189" s="59" t="s">
        <v>13</v>
      </c>
      <c r="I189" s="59" t="s">
        <v>196</v>
      </c>
      <c r="J189" s="59">
        <v>70</v>
      </c>
      <c r="K189" s="61" t="s">
        <v>460</v>
      </c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</row>
    <row r="190" spans="1:29" ht="15" x14ac:dyDescent="0.3">
      <c r="A190" s="55">
        <f t="shared" ca="1" si="2"/>
        <v>0.22666903017608653</v>
      </c>
      <c r="B190" s="55"/>
      <c r="C190" s="53" t="s">
        <v>14</v>
      </c>
      <c r="D190" s="61" t="s">
        <v>461</v>
      </c>
      <c r="E190" s="53" t="s">
        <v>462</v>
      </c>
      <c r="F190" s="53"/>
      <c r="G190" s="62">
        <v>1993</v>
      </c>
      <c r="H190" s="53" t="s">
        <v>12</v>
      </c>
      <c r="I190" s="53" t="s">
        <v>29</v>
      </c>
      <c r="J190" s="53">
        <v>70</v>
      </c>
      <c r="K190" s="61" t="s">
        <v>461</v>
      </c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</row>
    <row r="191" spans="1:29" ht="15" x14ac:dyDescent="0.3">
      <c r="A191" s="55">
        <f t="shared" ca="1" si="2"/>
        <v>0.45748882360884835</v>
      </c>
      <c r="B191" s="55" t="s">
        <v>1</v>
      </c>
      <c r="C191" s="53" t="s">
        <v>37</v>
      </c>
      <c r="D191" s="61" t="s">
        <v>463</v>
      </c>
      <c r="E191" s="53" t="s">
        <v>558</v>
      </c>
      <c r="F191" s="53"/>
      <c r="G191" s="62">
        <v>2006</v>
      </c>
      <c r="H191" s="53" t="s">
        <v>12</v>
      </c>
      <c r="I191" s="53" t="s">
        <v>29</v>
      </c>
      <c r="J191" s="53"/>
      <c r="K191" s="61" t="s">
        <v>463</v>
      </c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</row>
    <row r="192" spans="1:29" ht="15" x14ac:dyDescent="0.3">
      <c r="A192" s="55">
        <f t="shared" ca="1" si="2"/>
        <v>0.51415567030523568</v>
      </c>
      <c r="B192" s="55"/>
      <c r="C192" s="53" t="s">
        <v>17</v>
      </c>
      <c r="D192" s="63" t="s">
        <v>465</v>
      </c>
      <c r="E192" s="53" t="s">
        <v>466</v>
      </c>
      <c r="F192" s="53"/>
      <c r="G192" s="62">
        <v>2003</v>
      </c>
      <c r="H192" s="53" t="s">
        <v>13</v>
      </c>
      <c r="I192" s="53"/>
      <c r="J192" s="53">
        <v>80</v>
      </c>
      <c r="K192" s="63" t="s">
        <v>465</v>
      </c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</row>
    <row r="193" spans="1:29" s="53" customFormat="1" ht="15" x14ac:dyDescent="0.3">
      <c r="A193" s="55">
        <f t="shared" ca="1" si="2"/>
        <v>0.83394989006207665</v>
      </c>
      <c r="B193" s="55"/>
      <c r="C193" s="53" t="s">
        <v>71</v>
      </c>
      <c r="D193" s="63" t="s">
        <v>467</v>
      </c>
      <c r="E193" s="53" t="s">
        <v>468</v>
      </c>
      <c r="G193" s="62">
        <v>1988</v>
      </c>
      <c r="H193" s="53" t="s">
        <v>12</v>
      </c>
      <c r="I193" s="53" t="s">
        <v>33</v>
      </c>
      <c r="J193" s="53">
        <v>80</v>
      </c>
      <c r="K193" s="63" t="s">
        <v>467</v>
      </c>
    </row>
    <row r="194" spans="1:29" ht="15" x14ac:dyDescent="0.3">
      <c r="A194" s="55">
        <f t="shared" ref="A194:A206" ca="1" si="3">RAND()</f>
        <v>0.96911954737207284</v>
      </c>
      <c r="B194" s="55"/>
      <c r="C194" s="53" t="s">
        <v>77</v>
      </c>
      <c r="D194" s="61" t="s">
        <v>469</v>
      </c>
      <c r="E194" s="59" t="s">
        <v>470</v>
      </c>
      <c r="F194" s="59"/>
      <c r="G194" s="60">
        <v>1970</v>
      </c>
      <c r="H194" s="59" t="s">
        <v>12</v>
      </c>
      <c r="I194" s="59" t="s">
        <v>63</v>
      </c>
      <c r="J194" s="59">
        <v>80</v>
      </c>
      <c r="K194" s="61" t="s">
        <v>469</v>
      </c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</row>
    <row r="195" spans="1:29" ht="15" x14ac:dyDescent="0.3">
      <c r="A195" s="55">
        <f t="shared" ca="1" si="3"/>
        <v>0.68202844839184396</v>
      </c>
      <c r="B195" s="55" t="s">
        <v>1</v>
      </c>
      <c r="C195" s="53"/>
      <c r="D195" s="63" t="s">
        <v>471</v>
      </c>
      <c r="E195" s="53" t="s">
        <v>11</v>
      </c>
      <c r="F195" s="53"/>
      <c r="G195" s="62">
        <v>2004</v>
      </c>
      <c r="H195" s="53" t="s">
        <v>13</v>
      </c>
      <c r="I195" s="53"/>
      <c r="J195" s="53"/>
      <c r="K195" s="63" t="s">
        <v>471</v>
      </c>
    </row>
    <row r="196" spans="1:29" ht="15" x14ac:dyDescent="0.3">
      <c r="A196" s="55">
        <f t="shared" ca="1" si="3"/>
        <v>0.69794408947901299</v>
      </c>
      <c r="B196" s="68"/>
      <c r="C196" s="54" t="s">
        <v>10</v>
      </c>
      <c r="D196" s="63" t="s">
        <v>472</v>
      </c>
      <c r="E196" s="54" t="s">
        <v>473</v>
      </c>
      <c r="G196" s="69">
        <v>1975</v>
      </c>
      <c r="H196" s="54" t="s">
        <v>12</v>
      </c>
      <c r="I196" s="54" t="s">
        <v>474</v>
      </c>
      <c r="J196" s="54">
        <v>75</v>
      </c>
      <c r="K196" s="63" t="s">
        <v>472</v>
      </c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</row>
    <row r="197" spans="1:29" ht="15" x14ac:dyDescent="0.3">
      <c r="A197" s="55">
        <f t="shared" ca="1" si="3"/>
        <v>0.73276582961712178</v>
      </c>
      <c r="B197" s="55"/>
      <c r="C197" s="53"/>
      <c r="D197" s="63" t="s">
        <v>475</v>
      </c>
      <c r="E197" s="53" t="s">
        <v>64</v>
      </c>
      <c r="F197" s="53"/>
      <c r="G197" s="62">
        <v>1977</v>
      </c>
      <c r="H197" s="53" t="s">
        <v>12</v>
      </c>
      <c r="I197" s="53" t="s">
        <v>33</v>
      </c>
      <c r="J197" s="53">
        <v>80</v>
      </c>
      <c r="K197" s="63" t="s">
        <v>475</v>
      </c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</row>
    <row r="198" spans="1:29" ht="15" x14ac:dyDescent="0.3">
      <c r="A198" s="55">
        <f t="shared" ca="1" si="3"/>
        <v>0.57958586303081661</v>
      </c>
      <c r="B198" s="55"/>
      <c r="C198" s="53" t="s">
        <v>10</v>
      </c>
      <c r="D198" s="63" t="s">
        <v>476</v>
      </c>
      <c r="E198" s="53" t="s">
        <v>153</v>
      </c>
      <c r="F198" s="53"/>
      <c r="G198" s="62">
        <v>1995</v>
      </c>
      <c r="H198" s="53" t="s">
        <v>13</v>
      </c>
      <c r="I198" s="53"/>
      <c r="J198" s="53">
        <v>90</v>
      </c>
      <c r="K198" s="63" t="s">
        <v>476</v>
      </c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</row>
    <row r="199" spans="1:29" ht="15" x14ac:dyDescent="0.3">
      <c r="A199" s="55">
        <f t="shared" ca="1" si="3"/>
        <v>0.68381493302898577</v>
      </c>
      <c r="B199" s="55"/>
      <c r="C199" s="53"/>
      <c r="D199" s="63" t="s">
        <v>477</v>
      </c>
      <c r="E199" s="53" t="s">
        <v>28</v>
      </c>
      <c r="F199" s="53"/>
      <c r="G199" s="62">
        <v>2000</v>
      </c>
      <c r="H199" s="53" t="s">
        <v>12</v>
      </c>
      <c r="I199" s="53" t="s">
        <v>29</v>
      </c>
      <c r="J199" s="53">
        <v>85</v>
      </c>
      <c r="K199" s="63" t="s">
        <v>477</v>
      </c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</row>
    <row r="200" spans="1:29" ht="15" x14ac:dyDescent="0.3">
      <c r="A200" s="55">
        <f t="shared" ca="1" si="3"/>
        <v>0.30713608490932132</v>
      </c>
      <c r="B200" s="55" t="s">
        <v>1</v>
      </c>
      <c r="C200" s="53"/>
      <c r="D200" s="63" t="s">
        <v>478</v>
      </c>
      <c r="E200" s="59" t="s">
        <v>90</v>
      </c>
      <c r="F200" s="53"/>
      <c r="G200" s="62">
        <v>1965</v>
      </c>
      <c r="H200" s="53" t="s">
        <v>13</v>
      </c>
      <c r="I200" s="53" t="s">
        <v>454</v>
      </c>
      <c r="J200" s="53"/>
      <c r="K200" s="63" t="s">
        <v>478</v>
      </c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</row>
    <row r="201" spans="1:29" ht="15" x14ac:dyDescent="0.3">
      <c r="A201" s="55">
        <f t="shared" ca="1" si="3"/>
        <v>0.5717418266062424</v>
      </c>
      <c r="B201" s="55"/>
      <c r="C201" s="53" t="s">
        <v>46</v>
      </c>
      <c r="D201" s="63" t="s">
        <v>479</v>
      </c>
      <c r="E201" s="53" t="s">
        <v>480</v>
      </c>
      <c r="F201" s="53"/>
      <c r="G201" s="62">
        <v>2005</v>
      </c>
      <c r="H201" s="53" t="s">
        <v>12</v>
      </c>
      <c r="I201" s="53" t="s">
        <v>481</v>
      </c>
      <c r="J201" s="53">
        <v>130</v>
      </c>
      <c r="K201" s="63" t="s">
        <v>479</v>
      </c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</row>
    <row r="202" spans="1:29" ht="15" x14ac:dyDescent="0.3">
      <c r="A202" s="55">
        <f t="shared" ca="1" si="3"/>
        <v>0.47189654811968262</v>
      </c>
      <c r="B202" s="55"/>
      <c r="C202" s="53"/>
      <c r="D202" s="63" t="s">
        <v>482</v>
      </c>
      <c r="E202" s="53" t="s">
        <v>122</v>
      </c>
      <c r="F202" s="53"/>
      <c r="G202" s="62">
        <v>2015</v>
      </c>
      <c r="H202" s="53" t="s">
        <v>12</v>
      </c>
      <c r="I202" s="53"/>
      <c r="J202" s="53">
        <v>180</v>
      </c>
      <c r="K202" s="63" t="s">
        <v>482</v>
      </c>
    </row>
    <row r="203" spans="1:29" ht="15" x14ac:dyDescent="0.3">
      <c r="A203" s="55">
        <f t="shared" ca="1" si="3"/>
        <v>0.61985117452813498</v>
      </c>
      <c r="B203" s="55"/>
      <c r="C203" s="53" t="s">
        <v>93</v>
      </c>
      <c r="D203" s="63" t="s">
        <v>487</v>
      </c>
      <c r="E203" s="53" t="s">
        <v>363</v>
      </c>
      <c r="F203" s="53"/>
      <c r="G203" s="62">
        <v>1970</v>
      </c>
      <c r="H203" s="53" t="s">
        <v>13</v>
      </c>
      <c r="I203" s="53"/>
      <c r="J203" s="53">
        <v>75</v>
      </c>
      <c r="K203" s="63" t="s">
        <v>487</v>
      </c>
    </row>
    <row r="204" spans="1:29" ht="15" x14ac:dyDescent="0.3">
      <c r="A204" s="55">
        <f t="shared" ca="1" si="3"/>
        <v>0.27889547016475813</v>
      </c>
      <c r="B204" s="55"/>
      <c r="C204" s="53"/>
      <c r="D204" s="63" t="s">
        <v>483</v>
      </c>
      <c r="E204" s="53" t="s">
        <v>11</v>
      </c>
      <c r="F204" s="53"/>
      <c r="G204" s="62">
        <v>2005</v>
      </c>
      <c r="H204" s="53" t="s">
        <v>12</v>
      </c>
      <c r="I204" s="53" t="s">
        <v>13</v>
      </c>
      <c r="J204" s="53">
        <v>80</v>
      </c>
      <c r="K204" s="63" t="s">
        <v>483</v>
      </c>
    </row>
    <row r="205" spans="1:29" ht="15" x14ac:dyDescent="0.3">
      <c r="A205" s="55">
        <f t="shared" ca="1" si="3"/>
        <v>0.85513358436753395</v>
      </c>
      <c r="B205" s="55"/>
      <c r="C205" s="53" t="s">
        <v>46</v>
      </c>
      <c r="D205" s="63" t="s">
        <v>486</v>
      </c>
      <c r="E205" s="59" t="s">
        <v>90</v>
      </c>
      <c r="F205" s="53"/>
      <c r="G205" s="62">
        <v>1965</v>
      </c>
      <c r="H205" s="53" t="s">
        <v>13</v>
      </c>
      <c r="I205" s="53" t="s">
        <v>12</v>
      </c>
      <c r="J205" s="53">
        <v>160</v>
      </c>
      <c r="K205" s="63"/>
    </row>
    <row r="206" spans="1:29" ht="15" x14ac:dyDescent="0.3">
      <c r="A206" s="55">
        <f t="shared" ca="1" si="3"/>
        <v>0.78384128604119985</v>
      </c>
      <c r="B206" s="55"/>
      <c r="C206" s="53" t="s">
        <v>10</v>
      </c>
      <c r="D206" s="63" t="s">
        <v>488</v>
      </c>
      <c r="E206" s="53" t="s">
        <v>489</v>
      </c>
      <c r="F206" s="53"/>
      <c r="G206" s="62">
        <v>1994</v>
      </c>
      <c r="H206" s="53" t="s">
        <v>12</v>
      </c>
      <c r="I206" s="53" t="s">
        <v>29</v>
      </c>
      <c r="J206" s="53">
        <v>80</v>
      </c>
      <c r="K206" s="63"/>
    </row>
  </sheetData>
  <sortState xmlns:xlrd2="http://schemas.microsoft.com/office/spreadsheetml/2017/richdata2" ref="A3:K206">
    <sortCondition ref="D54:D206"/>
  </sortState>
  <conditionalFormatting sqref="A3:K206">
    <cfRule type="expression" dxfId="0" priority="1" stopIfTrue="1">
      <formula>$B3="WIP"</formula>
    </cfRule>
  </conditionalFormatting>
  <hyperlinks>
    <hyperlink ref="D11" r:id="rId1" display="Contemporary\Smash Mouth\All Star.txt" xr:uid="{E20AB820-95EF-43CB-A045-B9F6F3015B4C}"/>
    <hyperlink ref="K11" r:id="rId2" display="Contemporary\Smash Mouth\All Star.mp3" xr:uid="{176F0A63-CDC0-4F78-9EB6-27969B3DADD7}"/>
    <hyperlink ref="D12" r:id="rId3" display="Contemporary\Juice Newton\Angel of the Morning.txt" xr:uid="{57F47EFE-1C5C-406C-BE38-919BB749B165}"/>
    <hyperlink ref="K12" r:id="rId4" display="Contemporary\Juice Newton\Angel of the Morning.mp3" xr:uid="{E3651777-2BA9-47D7-A7A5-A71175FE344F}"/>
    <hyperlink ref="D13" r:id="rId5" display="Contemporary\Robbie Williams\Angels.txt" xr:uid="{D81CA940-B7BE-4BE3-975C-4047905F34F1}"/>
    <hyperlink ref="K13" r:id="rId6" display="Contemporary\Robbie Williams\Angels.mp3" xr:uid="{0A50B980-4D94-4D24-B1C2-1252ED508947}"/>
    <hyperlink ref="D14" r:id="rId7" display="Contemporary\John Denver\Annie's Song.txt" xr:uid="{85455BFA-5744-4F78-9468-A62ECF786009}"/>
    <hyperlink ref="K14" r:id="rId8" display="Contemporary\John Denver\Annie's Song.mp3" xr:uid="{DB62BB1B-9603-495F-9554-4EEFC54C5E01}"/>
    <hyperlink ref="D15" r:id="rId9" display="Contemporary\Michael Franks\Antonio's Song.txt" xr:uid="{5925506A-7F6B-41D0-A538-577BBEBF1339}"/>
    <hyperlink ref="K15" r:id="rId10" display="Contemporary\Michael Franks\Antonio's Song.mp3" xr:uid="{A936F52C-65AD-4AE8-B203-1BE1689414F3}"/>
    <hyperlink ref="D16" r:id="rId11" display="Contemporary\Simon and Garfunkel\April Come She Will.txt" xr:uid="{C3659BE2-1A89-4FEC-959C-A2B761CFD90F}"/>
    <hyperlink ref="K16" r:id="rId12" display="Contemporary\Simon and Garfunkel\April Come She Will.mp3" xr:uid="{4EE104A9-9952-4695-B08F-3ABA5B5A969F}"/>
    <hyperlink ref="D17" r:id="rId13" display="Contemporary\Various\Bistro Fada.txt" xr:uid="{D2C54B3B-D6B3-4E79-A2D8-424E6E233812}"/>
    <hyperlink ref="K17" r:id="rId14" display="Classical\Various\Stephane Wrembel - Bistro Fada.mp3" xr:uid="{87CD99E7-B18C-4785-A541-F0A227113B32}"/>
    <hyperlink ref="D18" r:id="rId15" display="Contemporary\The Beatles\Blackbird.txt" xr:uid="{6B90475C-2C1F-44B2-AEF3-1F8D4D05563F}"/>
    <hyperlink ref="K18" r:id="rId16" display="Contemporary\The Beatles\Blackbird.mp3" xr:uid="{A7DBCB14-39C5-464B-A893-1A6B9808008F}"/>
    <hyperlink ref="D21" r:id="rId17" xr:uid="{49607144-A8AE-4AEE-B2AF-33C013B4A938}"/>
    <hyperlink ref="D22" r:id="rId18" display="Contemporary\Various\Brasileirinho.txt" xr:uid="{02B43CC0-ECD8-4FB5-BD26-0501316D5559}"/>
    <hyperlink ref="D23" r:id="rId19" display="Contemporary\Deep Blue Something\Breakfast At Tiffany's.txt" xr:uid="{CE80A984-3E59-4530-9FE4-05B8A6C1585D}"/>
    <hyperlink ref="K23" r:id="rId20" display="Contemporary\Deep Blue Something\Breakfast At Tiffany's.mp3" xr:uid="{A9059673-BBA3-4B18-85BE-33B5E63A05D3}"/>
    <hyperlink ref="D24" r:id="rId21" display="Contemporary\Van Morrison\Brown Eyed Girl.txt" xr:uid="{EAF84244-33B0-4E0B-91BB-0A1930492D4B}"/>
    <hyperlink ref="D25" r:id="rId22" display="Contemporary\George Ezra\Budapest.txt" xr:uid="{8D91275D-55E2-4B29-A690-CCECDADD952F}"/>
    <hyperlink ref="D26" r:id="rId23" display="Contemporary\Jason Mraz\Butterfly.txt" xr:uid="{CC89B4EE-151B-4A82-9AF0-C248A260923A}"/>
    <hyperlink ref="K26" r:id="rId24" display="Contemporary\Jason Mraz\Butterfly.mp3" xr:uid="{20AFB1AF-F4FA-4562-A0E1-679BD19AC260}"/>
    <hyperlink ref="D27" r:id="rId25" display="Contemporary\Everly Brothers\Bye Bye Love.txt" xr:uid="{3C1BF671-E987-45FE-BE62-F4EBB58851C9}"/>
    <hyperlink ref="K27" r:id="rId26" display="Contemporary\Everly Brothers\Bye Bye Love.mp3" xr:uid="{CBE0A4E2-D9EB-4F39-A063-8001BFB4F8D7}"/>
    <hyperlink ref="D29" r:id="rId27" display="Contemporary\Red Hot Chili Peppers\Californication.txt" xr:uid="{5EC69205-3C98-45E5-840A-5029892E5441}"/>
    <hyperlink ref="D30" r:id="rId28" display="Contemporary\Elvis Presley\Can't Help Falling In Love.txt" xr:uid="{8AB6767D-E477-4AE7-AC00-169D558BC451}"/>
    <hyperlink ref="D31" r:id="rId29" display="Contemporary\George Michael\Careless Whisper.txt" xr:uid="{7D7ACAC4-574B-4E1F-91F1-0F7898394C79}"/>
    <hyperlink ref="K31" r:id="rId30" display="Contemporary\George Michael\Careless Whisper.mp3" xr:uid="{477E7D79-8275-422B-AFFE-CA54046CF5BC}"/>
    <hyperlink ref="D32" r:id="rId31" display="Contemporary\James Blunt\Carry You Home.txt" xr:uid="{4D16AED9-97CB-4FF6-ACA1-EBCDE21D848D}"/>
    <hyperlink ref="K32" r:id="rId32" display="Contemporary\James Blunt\Carry You Home.mp3" xr:uid="{69A05755-51B9-4A8B-B4FD-83B528A87938}"/>
    <hyperlink ref="D33" r:id="rId33" display="Contemporary\Matt Simons\Catch and Release.txt" xr:uid="{507FD07D-EE29-4C23-AD5F-4D3122F568D8}"/>
    <hyperlink ref="K33" r:id="rId34" display="Contemporary\Matt Simons\Catch and Release.mp3" xr:uid="{7DAB506B-7321-41A8-A261-3F485CF785A5}"/>
    <hyperlink ref="D34" r:id="rId35" display="Contemporary\Katy Perry\Chained To The Rhythm.txt" xr:uid="{05826551-903D-4036-B3CC-07D42FD87DBD}"/>
    <hyperlink ref="D36" r:id="rId36" display="Contemporary\Semisonic\Closing Time.txt" xr:uid="{4C6A0D48-B561-4D67-BD9E-A40090C51F60}"/>
    <hyperlink ref="K36" r:id="rId37" display="Contemporary\Semisonic\Closing Time.mp3" xr:uid="{5EA856D3-D1E5-4C55-A8D2-928645C18D96}"/>
    <hyperlink ref="D37" r:id="rId38" display="Contemporary\Bryan Adams\Cloud Number Nine.txt" xr:uid="{77A803FB-AC41-4A7C-86A8-DF55E444EA09}"/>
    <hyperlink ref="K37" r:id="rId39" display="Contemporary\Bryan Adams\Cloud Number Nine.mp3" xr:uid="{39267812-4DC7-48D0-8379-18FC2B28B0C7}"/>
    <hyperlink ref="D38" r:id="rId40" display="Contemporary\Norah Jones\Come Away With Me.txt" xr:uid="{C657B4B3-851C-4801-A996-4C406673503D}"/>
    <hyperlink ref="K38" r:id="rId41" display="Contemporary\Norah Jones\Come Away With Me.mp3" xr:uid="{C9FB5AFB-F654-4D6C-9F02-BE5A6AEA45C7}"/>
    <hyperlink ref="D39" r:id="rId42" display="Contemporary\Bruno Mars\Count On Me.txt" xr:uid="{EE8C7167-4CA9-4920-8EB7-B3004CF392F5}"/>
    <hyperlink ref="D40" r:id="rId43" display="Contemporary\John Denver\Country Roads.txt" xr:uid="{B2F25EE5-AC81-4357-BE74-E3889C29199D}"/>
    <hyperlink ref="D41" r:id="rId44" display="Contemporary\Gnarls Barkley\Crazy.txt" xr:uid="{5D0A8F83-BC41-4891-B0A3-AD2315EA841F}"/>
    <hyperlink ref="K41" r:id="rId45" display="Contemporary\Gnarls Barkley\Crazy.mp3" xr:uid="{A1D32C66-639B-4235-9338-BFA2C409C0DD}"/>
    <hyperlink ref="D42" r:id="rId46" display="Contemporary\Queen\Crazy Little Thing Called Love.txt" xr:uid="{D4F706A3-E090-40D8-8434-48A4F3499969}"/>
    <hyperlink ref="K42" r:id="rId47" display="Contemporary\Queen\Crazy Little Thing Called Love.mp3" xr:uid="{86ACDD09-86BC-4A43-A1FD-FB699D44C458}"/>
    <hyperlink ref="D43" r:id="rId48" display="Contemporary\Toploader\Dancing in the Moonlight.txt" xr:uid="{1AE08E50-B424-4628-A4E8-358AF74E9AED}"/>
    <hyperlink ref="K43" r:id="rId49" display="Contemporary\Toploader\Dancing in the Moonlight.mp3" xr:uid="{8983D4F5-6E94-4F08-A65C-FADCDACCA2B4}"/>
    <hyperlink ref="D44" r:id="rId50" display="Contemporary\ABBA\Dancing Queen.txt" xr:uid="{8DE25DD0-0187-4607-870E-A0D3231E92B3}"/>
    <hyperlink ref="K44" r:id="rId51" display="Contemporary\ABBA\Dancing Queen.mp3" xr:uid="{2CB67423-B872-41BF-9FBB-AAD95982ECBC}"/>
    <hyperlink ref="D45" r:id="rId52" display="Contemporary\John Mayer\Daughters.txt" xr:uid="{8B6B3A54-08F1-4C1F-AB8E-F63B4DE4D5BA}"/>
    <hyperlink ref="K45" r:id="rId53" display="Contemporary\John Mayer\Daughters.mp3" xr:uid="{90E88443-6906-4E31-BB4F-7F4A107A7DDC}"/>
    <hyperlink ref="D46" r:id="rId54" display="Contemporary\The Avett Brothers\Die Die Die.txt" xr:uid="{74278C1A-CDCC-4D65-B794-9F97A9E1E0AC}"/>
    <hyperlink ref="K46" r:id="rId55" display="Contemporary\The Avett Brothers\Die Die Die.mp3" xr:uid="{AA4769FD-2F92-42F8-A708-198B87EAB10C}"/>
    <hyperlink ref="D48" r:id="rId56" display="Contemporary\James Taylor\Don't Let Me Be Lonely Tonight.txt" xr:uid="{C4E0ADB1-08E2-473F-A47C-8813F8CC344E}"/>
    <hyperlink ref="K48" r:id="rId57" display="Contemporary\James Taylor\Don't Let Me Be Lonely Tonight.mp3" xr:uid="{D5CE7647-4898-47D6-894C-5AD949A38A7C}"/>
    <hyperlink ref="D49" r:id="rId58" display="Contemporary\Oasis\Don't Look Back In Anger.txt" xr:uid="{12A37D51-1951-495E-AD39-F9C20ABF14D5}"/>
    <hyperlink ref="D50" r:id="rId59" display="Contemporary\Queen\Don't Stop Me Now.txt" xr:uid="{F3C8DED9-EAA3-41A4-81F7-C93582FD3B69}"/>
    <hyperlink ref="K50" r:id="rId60" display="Contemporary\Queen\Don't Stop Me Now (cover).mp3" xr:uid="{11F7EAE2-A9EA-4084-96DC-74EE09161F44}"/>
    <hyperlink ref="D51" r:id="rId61" display="Contemporary\Nickel Creek\Doubting Thomas.txt" xr:uid="{85921EA9-B84B-4C2E-9B2C-5C1EB2E0A231}"/>
    <hyperlink ref="K51" r:id="rId62" display="Contemporary\Nickel Creek\Doubting Thomas.mp3" xr:uid="{FECB2A53-9B3E-4FD1-805B-1386B901F6E6}"/>
    <hyperlink ref="D52" r:id="rId63" display="Contemporary\Various\Dream A Little Dream of Me.txt" xr:uid="{BF87A8AD-4175-4508-AE29-1AF457D8A785}"/>
    <hyperlink ref="K52" r:id="rId64" display="Contemporary\Various\Dream A Little Dream of Me.mp3" xr:uid="{D8FC31FB-955D-4B7C-B8DF-E7BCA2E34E64}"/>
    <hyperlink ref="D53" r:id="rId65" display="Contemporary\Incubus\Drive.txt" xr:uid="{C6D41699-92C0-4E91-A562-9B1C01323A13}"/>
    <hyperlink ref="K53" r:id="rId66" display="Contemporary\Incubus\Drive.mp3" xr:uid="{891419EA-5974-4E63-9A84-249E9F47C9C3}"/>
    <hyperlink ref="D54" r:id="rId67" display="Contemporary\Kansas\Dust in the Wind.txt" xr:uid="{084C288B-F1EF-4FD1-8924-71C71B345C2B}"/>
    <hyperlink ref="K54" r:id="rId68" display="Contemporary\Kansas\Dust in the Wind.mp3" xr:uid="{7528C36B-DB88-4E96-979E-61F14A07A9AC}"/>
    <hyperlink ref="D55" r:id="rId69" display="Contemporary\The Penguins\Earth Angel.txt" xr:uid="{EE97AD42-0800-4DDB-BBDC-FA5AFA6F67F8}"/>
    <hyperlink ref="K55" r:id="rId70" display="Contemporary\The Penguins\Earth Angel.mp3" xr:uid="{C393FF3F-0367-4087-B2EA-1ADAE338E202}"/>
    <hyperlink ref="D56" r:id="rId71" display="Contemporary\The Beatles\Eight Days A Week.txt" xr:uid="{E06DBBF3-134C-45D0-B0FA-72D64D9E763B}"/>
    <hyperlink ref="K56" r:id="rId72" display="Contemporary\The Beatles\Eight Days A Week.mp3" xr:uid="{C56D7488-D306-43FD-AD5B-A93EE1309E95}"/>
    <hyperlink ref="D57" r:id="rId73" display="Contemporary\Rupert Holmes\Escape.txt" xr:uid="{AD29CBC5-4880-42C5-B3FE-DE65ECD699CF}"/>
    <hyperlink ref="K57" r:id="rId74" display="Contemporary\Rupert Holmes\Escape.mp3" xr:uid="{428DA1CA-BDFD-4C19-A117-A3F22FAEF858}"/>
    <hyperlink ref="D58" r:id="rId75" display="Contemporary\Eric Hutchinson\Every Little Thing She Does Is Magic.txt" xr:uid="{719FE7E0-059E-47CC-880F-BCE0639317CB}"/>
    <hyperlink ref="K58" r:id="rId76" display="Contemporary\Eric Hutchinson\Every Little Thing She Does Is Magic.mp3" xr:uid="{4400F07A-CE08-48A7-9C33-4486A6A3FF91}"/>
    <hyperlink ref="D59" r:id="rId77" display="Contemporary\Michael Buble\Everything.txt" xr:uid="{C2C58970-77BA-4C73-985C-A091134B97E3}"/>
    <hyperlink ref="K59" r:id="rId78" display="Contemporary\Michael Buble\Everything.mp3" xr:uid="{46394EA7-7FCE-4AF7-94CA-1E45E55BA3EF}"/>
    <hyperlink ref="D60" r:id="rId79" display="Contemporary\Bread\Everything I Own.txt" xr:uid="{DCE811D3-F2D5-4133-BDA5-F755C24CB926}"/>
    <hyperlink ref="K60" r:id="rId80" display="Contemporary\Bread\Everything I Own.mp3" xr:uid="{2717B9FD-6CC3-4788-9EAE-290DB1A5AEBB}"/>
    <hyperlink ref="D61" r:id="rId81" display="Contemporary\George Michael\Faith.txt" xr:uid="{A2C8A8EC-7996-4F48-9DF2-4CF82A059EB1}"/>
    <hyperlink ref="K61" r:id="rId82" display="Contemporary\George Michael\Faith.mp3" xr:uid="{9FD17B65-9EA0-4B7F-82A7-0E6F13CD65EB}"/>
    <hyperlink ref="D62" r:id="rId83" display="Contemporary\Various\Fare Thee Well.txt" xr:uid="{13F96C3A-B666-49FA-B001-DBB3DB728D96}"/>
    <hyperlink ref="K62" r:id="rId84" display="Contemporary\Various\Fare Thee Well.mp3" xr:uid="{8BC6A1BD-5696-4532-9626-F9E2260E9EEA}"/>
    <hyperlink ref="D63" r:id="rId85" display="Contemporary\James Taylor\Fire and Rain.txt" xr:uid="{26921873-2D5F-40DC-8B35-773376A9E2EA}"/>
    <hyperlink ref="K63" r:id="rId86" display="Contemporary\James Taylor\Fire and Rain.mp3" xr:uid="{773D88C0-55C6-4E42-814E-31BF028422DE}"/>
    <hyperlink ref="D64" r:id="rId87" display="Contemporary\Owl City\Fireflies.txt" xr:uid="{8C33ACD8-5B6D-44A8-865F-A59F5203E5B2}"/>
    <hyperlink ref="K64" r:id="rId88" display="Contemporary\Owl City\Fireflies.mp3" xr:uid="{96E80315-7F98-4068-A30F-1D98202EAA87}"/>
    <hyperlink ref="D65" r:id="rId89" display="Contemporary\Bright Eyes\First Day Of My Life.txt" xr:uid="{536BE469-60B1-48B5-B95B-BD20EF107BC5}"/>
    <hyperlink ref="K65" r:id="rId90" display="Contemporary\Bright Eyes\First Day Of My Life.mp3" xr:uid="{47A6F2DD-3E04-4320-B1D8-4EE95C091622}"/>
    <hyperlink ref="D66" r:id="rId91" display="Contemporary\Peter, Paul, and Mary\Five Hundred Miles.txt" xr:uid="{A0CAEC39-81C2-4E31-B17E-36651C49094A}"/>
    <hyperlink ref="D67" r:id="rId92" display="Contemporary\Iron and Wine\Flightless Bird American Mouth.txt" xr:uid="{7C7C76AF-4F27-484F-A777-3C494C23A930}"/>
    <hyperlink ref="K67" r:id="rId93" display="Contemporary\Iron and Wine\Flightless Bird American Mouth.m4a" xr:uid="{BA0471F9-5F35-41F6-984B-BFFB21D70B6F}"/>
    <hyperlink ref="D68" r:id="rId94" display="Contemporary\Frank Sinatra\Fly Me To The Moon.txt" xr:uid="{EE51C297-D526-442F-8847-5378EF0817D4}"/>
    <hyperlink ref="K68" r:id="rId95" display="Contemporary\Frank Sinatra\Fly Me To The Moon.mp3" xr:uid="{319850B3-D0E4-4ACE-908D-7D731B47ED22}"/>
    <hyperlink ref="D69" r:id="rId96" display="Contemporary\John Mayer\Free Falling.txt" xr:uid="{7219A97B-7838-4C00-A737-13C7244AFFA8}"/>
    <hyperlink ref="D70" r:id="rId97" display="Contemporary\Maroon 5\Give A Little More.txt" xr:uid="{CA44243C-632A-47C8-9E92-AD2C806F471F}"/>
    <hyperlink ref="K70" r:id="rId98" display="Contemporary\Maroon 5\Give A Little More.mp3" xr:uid="{EDDC2227-24C2-44F5-BD50-58760D88330A}"/>
    <hyperlink ref="D72" r:id="rId99" display="Contemporary\Eric Hutchinson\Goodnight Goodbye.txt" xr:uid="{B3C0C26C-00D5-4789-A33D-7F9464971AE8}"/>
    <hyperlink ref="K72" r:id="rId100" display="Contemporary\Eric Hutchinson\Goodnight Goodbye.mp3" xr:uid="{EF8DE319-19B8-495A-BBAF-BA3A2890DACD}"/>
    <hyperlink ref="D73" r:id="rId101" display="Contemporary\Frank Sinatra\Got You Under My Skin.txt" xr:uid="{BF4D3FFD-AFB9-4436-8FD8-AD68660F29CC}"/>
    <hyperlink ref="K73" r:id="rId102" display="Contemporary\Frank Sinatra\Got You Under My Skin.mp3" xr:uid="{9F0ED9C3-561B-4699-B14B-935A98A4AA5C}"/>
    <hyperlink ref="D75" r:id="rId103" display="Contemporary\Bread\The Guitar Man.txt" xr:uid="{1AF4D7A1-C380-43AD-8D03-A105E98073B2}"/>
    <hyperlink ref="K75" r:id="rId104" display="Contemporary\Bread\The Guitar Man.mp3" xr:uid="{A7BC46C0-A53D-483F-91BE-5997D75ADE48}"/>
    <hyperlink ref="D76" r:id="rId105" display="Contemporary\Jeff Buckley\Hallelujah.txt" xr:uid="{B14F5162-99D5-47E8-9810-5045B80430D8}"/>
    <hyperlink ref="K76" r:id="rId106" display="Contemporary\Jeff Buckley\Hallelujah.mp3" xr:uid="{0DD71256-8357-4AA5-B3C2-8630C98E25C9}"/>
    <hyperlink ref="D77" r:id="rId107" display="Contemporary\Pharell Williams\Happy.txt" xr:uid="{96E75D3D-8D1A-4CCC-AE63-405096EC8CB8}"/>
    <hyperlink ref="K77" r:id="rId108" display="Contemporary\Pharell Williams\Happy.mp3" xr:uid="{DDA95E2E-12A1-436A-8876-C7C77ED0E1BA}"/>
    <hyperlink ref="D78" r:id="rId109" display="Contemporary\CCR\Have You Ever Seen The Rain.txt" xr:uid="{F4C3E0D2-C704-4868-A4D1-4154C66D5A3F}"/>
    <hyperlink ref="K78" r:id="rId110" display="Contemporary\CCR\Have You Ever Seen The Rain.mp3" xr:uid="{F80A7928-0B02-4699-98C5-4549A2EAE6A2}"/>
    <hyperlink ref="D79" r:id="rId111" display="Contemporary\Neil Young\Heart Of Gold.txt" xr:uid="{1B53603F-4A54-4F1A-B6A4-EAE338979AB1}"/>
    <hyperlink ref="D80" r:id="rId112" display="Contemporary\Lionel Richie\Hello.txt" xr:uid="{8127E3D7-B053-4E4E-B5DF-7FC838219947}"/>
    <hyperlink ref="D81" r:id="rId113" display="Contemporary\3 Doors Down\Here Without You.txt" xr:uid="{6CEA1638-3B12-4F5C-A020-3CE7B61AB758}"/>
    <hyperlink ref="K81" r:id="rId114" display="Contemporary\3 Doors Down\Here Without You.mp3" xr:uid="{8030B197-0836-4E83-A8BB-3A0C7A5EF0D7}"/>
    <hyperlink ref="D82" r:id="rId115" display="Contemporary\The Beatles\Hey Jude.txt" xr:uid="{E4A02497-D366-438D-BA36-28F08D30534F}"/>
    <hyperlink ref="K82" r:id="rId116" display="Contemporary\The Beatles\Hey Jude.mp3" xr:uid="{D9E0A6C2-66D8-4176-9629-BE1873E822BC}"/>
    <hyperlink ref="D84" r:id="rId117" display="Contemporary\Plain White T's\Hey There Delilah.txt" xr:uid="{5EA8B996-C40F-41C8-BE32-17E14B5FFD43}"/>
    <hyperlink ref="K84" r:id="rId118" display="Contemporary\Plain White T's\Hey There Delilah.mp3" xr:uid="{C4ED8C2F-9FB6-4345-BEF5-E6368BFE97DA}"/>
    <hyperlink ref="D83" r:id="rId119" display="Contemporary\Train\Hey, Soul Sister.txt" xr:uid="{D7BB10EE-3A59-4F3E-BB1D-5B3EFA9887CD}"/>
    <hyperlink ref="K83" r:id="rId120" display="Contemporary\Train\Hey, Soul Sister.mp3" xr:uid="{E45F261E-68CB-4DDB-8644-1161F093DEF2}"/>
    <hyperlink ref="D139" r:id="rId121" xr:uid="{0C8E4D53-D179-4F9E-A63B-8A2855576498}"/>
    <hyperlink ref="D86" r:id="rId122" display="Contemporary\Coldplay\Hymn For The Weekend.txt" xr:uid="{20747F51-B3A9-4EE1-A9A3-C6C6DCB3DBF9}"/>
    <hyperlink ref="K86" r:id="rId123" display="Contemporary\Coldplay\Hymn For The Weekend.mp3" xr:uid="{2E0AC90B-15B6-49EA-98ED-70EF0BB288E5}"/>
    <hyperlink ref="D87" r:id="rId124" display="Contemporary\The Beatles\I Saw Her Standing There.txt" xr:uid="{CF11366B-3A42-4C2C-840D-C5B2CEBC8A77}"/>
    <hyperlink ref="D89" r:id="rId125" display="Contemporary\Death Cab for Cutie\I Will Follow You Into The Dark.txt" xr:uid="{C5554D3D-CE25-4A12-834D-58E24F2E01EC}"/>
    <hyperlink ref="K89" r:id="rId126" display="Contemporary\Death Cab for Cutie\I Will Follow You Into The Dark.mp3" xr:uid="{AF2DCEA8-4C40-40D7-ACEA-1C4B3B058E66}"/>
    <hyperlink ref="D90" r:id="rId127" display="Contemporary\Ten Years After\I'd Love To Change The World.txt" xr:uid="{C485F4E2-6FF8-4443-BA8F-5A4864251584}"/>
    <hyperlink ref="K90" r:id="rId128" display="Contemporary\Ten Years After\I'd Love To Change The World.mp3" xr:uid="{9676BF4E-10C5-4D14-A3EB-15AB8AD5A42A}"/>
    <hyperlink ref="D93" r:id="rId129" display="Contemporary\The Rembrandts\I'll Be There For You.txt" xr:uid="{68C3F049-A7B7-453E-BCCE-55E4B5134671}"/>
    <hyperlink ref="K93" r:id="rId130" display="Contemporary\The Rembrandts\I'll Be There For You.mp3" xr:uid="{C12D3B4A-CF34-45F1-8E27-1285D75BA85F}"/>
    <hyperlink ref="D94" r:id="rId131" display="Contemporary\The Monkees\I'm a Believer.txt" xr:uid="{F4C5B733-8144-4FA6-B370-94AFE8412EB7}"/>
    <hyperlink ref="K94" r:id="rId132" display="Contemporary\The Monkees\I'm a Believer.mp3" xr:uid="{F0685861-C6E8-47FE-82A1-660CB322DFB0}"/>
    <hyperlink ref="D91" r:id="rId133" display="Contemporary\Bread\If.txt" xr:uid="{C7A6AB36-C0CE-4910-96CB-776184CAFCA9}"/>
    <hyperlink ref="K91" r:id="rId134" display="Contemporary\Bread\If.mp3" xr:uid="{22ED78D1-C3F1-4265-B915-5BFBE4EDC55C}"/>
    <hyperlink ref="D92" r:id="rId135" display="Contemporary\Peter, Paul, and Mary\If I Had A Hammer.txt" xr:uid="{576209E4-8A29-4611-89CA-CBCD3D10DF4A}"/>
    <hyperlink ref="K92" r:id="rId136" display="Contemporary\Peter, Paul, and Mary\If I Had A Hammer.mp3" xr:uid="{AEB00580-6EB7-4CF0-BD40-E5F6376DB8B0}"/>
    <hyperlink ref="D96" r:id="rId137" display="Contemporary\Lori Lieberman\Killing Me Softly.txt" xr:uid="{98895995-E932-4F4F-A5E4-086B61C9D6F0}"/>
    <hyperlink ref="K96" r:id="rId138" display="Contemporary\Lori Lieberman\Killing Me Softly.mp3" xr:uid="{C34A811A-7D4D-4B26-8BD8-49E65F080322}"/>
    <hyperlink ref="D97" r:id="rId139" display="Contemporary\Louis Armstrong\La Vie En Rose.txt" xr:uid="{1EC479CB-146C-49B2-B415-32B1578BEAF6}"/>
    <hyperlink ref="K97" r:id="rId140" display="Contemporary\Louis Armstrong\La Vie En Rose.mp3" xr:uid="{605CCF1A-0558-4416-BEFD-94E2B57E4F77}"/>
    <hyperlink ref="D98" r:id="rId141" display="Contemporary\Eric Clapton\Layla.txt" xr:uid="{B2333018-E0FC-4778-9A19-BB8259A91F4A}"/>
    <hyperlink ref="K98" r:id="rId142" display="Contemporary\Eric Clapton\Layla.mp3" xr:uid="{615450F0-18A9-4C44-8379-75D0FC362B4C}"/>
    <hyperlink ref="D99" r:id="rId143" display="Contemporary\John Denver\Leaving On A Jet Plane.txt" xr:uid="{240169D9-22F8-4BB4-8FB2-8E0A05D37960}"/>
    <hyperlink ref="K99" r:id="rId144" display="Contemporary\John Denver\Leaving On A Jet Plane.mp3" xr:uid="{2082237C-41B2-4792-BE39-BC9B6AF362C9}"/>
    <hyperlink ref="D100" r:id="rId145" display="Contemporary\Fool's Garden\Lemon Tree.txt" xr:uid="{5315CB83-B23A-475E-8427-7490F7820398}"/>
    <hyperlink ref="K100" r:id="rId146" display="Contemporary\Fool's Garden\Lemon Tree.mp3" xr:uid="{39EC1519-6C8C-4744-B59E-D64306EA11AE}"/>
    <hyperlink ref="D101" r:id="rId147" display="Contemporary\Passenger\Let Her Go.txt" xr:uid="{8430FB21-2317-4756-9FC2-5B1E56021FBF}"/>
    <hyperlink ref="K101" r:id="rId148" display="Contemporary\Passenger\Let Her Go.mp3" xr:uid="{91193D0D-BFDE-48E1-AEBC-E2ADF2F83D81}"/>
    <hyperlink ref="D102" r:id="rId149" display="Contemporary\Meghan Trainor\Like I'm Gonna Lose You.txt" xr:uid="{3FFE24F1-F32D-4C44-9A50-2A1E2570AD2C}"/>
    <hyperlink ref="K102" r:id="rId150" display="Contemporary\Meghan Trainor\Like I'm Gonna Lose You.txt" xr:uid="{C05D470C-C9D9-4F34-AF9F-7EF212F921A2}"/>
    <hyperlink ref="D103" r:id="rId151" display="Contemporary\Eric Clapton\Lonely Stranger.txt" xr:uid="{83C26025-90CB-4F58-A324-140BADC476FD}"/>
    <hyperlink ref="K103" r:id="rId152" display="Contemporary\Eric Clapton\Lonely Stranger.mp3" xr:uid="{FE71280D-FC10-477A-B311-41F66B5F44BC}"/>
    <hyperlink ref="D104" r:id="rId153" display="Contemporary\Kurt Hunter\Long Goodbyes.txt" xr:uid="{C1A5BD24-382F-4768-8B6B-7E2C1D7C8B73}"/>
    <hyperlink ref="K104" r:id="rId154" display="Contemporary\Kurt Hunter\Long Goodbyes.mp3" xr:uid="{20CA1031-FE93-472D-96B8-3143412482F7}"/>
    <hyperlink ref="D105" r:id="rId155" display="Contemporary\Doobie Brothers\Long Train Running.txt" xr:uid="{43558D87-8A8D-4C9B-B619-7F70729BFB03}"/>
    <hyperlink ref="K105" r:id="rId156" display="Contemporary\Doobie Brothers\Long Train Running.mp3" xr:uid="{9DC9A27F-99C2-49BC-8FB4-AAE1015CB98B}"/>
    <hyperlink ref="D106" r:id="rId157" display="Contemporary\REM\Losing My Religion.txt" xr:uid="{BACC325E-542D-488F-A99B-141EC297E651}"/>
    <hyperlink ref="K106" r:id="rId158" display="Contemporary\REM\Losing My Religion.mp3" xr:uid="{518FA70E-969C-454D-B108-7A2823791360}"/>
    <hyperlink ref="D108" r:id="rId159" display="Contemporary\Justin Bieber\Love Yourself.txt" xr:uid="{0B2568EF-6F1B-45B3-8CB2-06E70A40CB5A}"/>
    <hyperlink ref="D109" r:id="rId160" display="Contemporary\Jason Mraz\Lucky.txt" xr:uid="{0D2376FD-AC73-4275-896C-7A85B26E8150}"/>
    <hyperlink ref="K109" r:id="rId161" display="Contemporary\Jason Mraz\Lucky.mp3" xr:uid="{53EF529B-4173-4612-A426-1DC73017AAD0}"/>
    <hyperlink ref="D110" r:id="rId162" display="Contemporary\Cliff Richard\Lucky Lips.txt" xr:uid="{EE4B6736-5710-44E6-8983-C4F9FC004019}"/>
    <hyperlink ref="D111" r:id="rId163" display="Contemporary\Adele\Make You Feel My Love.txt" xr:uid="{12C6DF38-9CE2-4E09-82A6-7E6ADA2DD042}"/>
    <hyperlink ref="K111" r:id="rId164" display="Contemporary\Adele\Make You Feel My Love.mp3" xr:uid="{BCE0D774-9960-4325-A581-7EABC570CBDA}"/>
    <hyperlink ref="D112" r:id="rId165" display="Contemporary\Tom Petty and The Heartbreakers\Mary Jane's Last Dance.txt" xr:uid="{A6B04971-506B-45CF-AD5C-7DDE6AA5F809}"/>
    <hyperlink ref="K112" r:id="rId166" display="Contemporary\Tom Petty and The Heartbreakers\Mary Jane's Last Dance.mp3" xr:uid="{684A0C5F-E6E4-4F73-BBCE-4D5EE2BEF458}"/>
    <hyperlink ref="D113" r:id="rId167" display="Contemporary\The Beatles\Michelle.txt" xr:uid="{83AF5536-0B65-4D7C-92C5-74DB33BA2F7C}"/>
    <hyperlink ref="K113" r:id="rId168" display="Contemporary\The Beatles\Michelle.mp3" xr:uid="{495F8A81-9A6D-47B7-B393-02C9240F1EE3}"/>
    <hyperlink ref="D114" r:id="rId169" display="Contemporary\Various\Moon River.txt" xr:uid="{9AAF6E4F-6AA0-4099-B86C-8F8268836F3E}"/>
    <hyperlink ref="K114" r:id="rId170" display="Contemporary\Various\Moon River.mp3" xr:uid="{924E4C5C-A4DB-4ECC-BA4C-874BB07F11D2}"/>
    <hyperlink ref="D115" r:id="rId171" display="Contemporary\Extreme\More Than Words.txt" xr:uid="{AF46F08F-69DB-4545-B482-FB4E81A875C0}"/>
    <hyperlink ref="K115" r:id="rId172" display="Contemporary\Extreme\More Than Words.mp3" xr:uid="{10FE6EFA-E5FA-43B6-8525-D381520A0103}"/>
    <hyperlink ref="D116" r:id="rId173" display="Contemporary\Electric Light Orchestra\Mr Blue Sky.txt" xr:uid="{2EB087DB-8B2B-44D6-9535-147334D395A5}"/>
    <hyperlink ref="K116" r:id="rId174" display="Contemporary\Electric Light Orchestra\Mr Blue Sky.mp3" xr:uid="{3024D27B-A849-48C1-A1A2-26D6D19A621D}"/>
    <hyperlink ref="D118" r:id="rId175" display="Contemporary\Westlife\My Love.txt" xr:uid="{2283E055-40E5-41DC-94F2-582D32E1308A}"/>
    <hyperlink ref="K118" r:id="rId176" display="Contemporary\Westlife\My Love.mp3" xr:uid="{D538E796-C899-4068-95F5-DB1356751F4F}"/>
    <hyperlink ref="D121" r:id="rId177" display="Contemporary\Moody Blues\Nights In White Satin.txt" xr:uid="{B74642DE-BA36-4509-B503-10E8A70B9265}"/>
    <hyperlink ref="D122" r:id="rId178" display="Contemporary\The Beatles\Norwegian Wood.txt" xr:uid="{93384BE9-0263-4E70-A126-DB65044272D8}"/>
    <hyperlink ref="K122" r:id="rId179" display="Contemporary\The Beatles\Norwegian Wood.mp3" xr:uid="{4D7EF909-04C8-45DF-958E-9C46663780A5}"/>
    <hyperlink ref="D123" r:id="rId180" display="Contemporary\Linkin Park\Numb.txt" xr:uid="{E62EE6A5-827E-43B9-BBA9-5CA7872A1C44}"/>
    <hyperlink ref="K123" r:id="rId181" display="Contemporary\Linkin Park\Numb.mp3" xr:uid="{6A1F48B9-A26F-42B3-80B9-A244DDD2D077}"/>
    <hyperlink ref="D124" r:id="rId182" display="Contemporary\Neil Sedaka\Oh Carol.txt" xr:uid="{881C21E0-46A9-4B83-A128-4872AE60B03F}"/>
    <hyperlink ref="D125" r:id="rId183" display="Contemporary\Blue\One Love.txt" xr:uid="{DC479420-481A-494A-BBC3-29D411578790}"/>
    <hyperlink ref="K125" r:id="rId184" display="Contemporary\Blue\One Love.mp3" xr:uid="{6DFE507D-86B0-4BC2-A9A3-8EAD62F58547}"/>
    <hyperlink ref="D126" r:id="rId185" display="Contemporary\Coldplay\Paradise.txt" xr:uid="{96D037E4-33DC-41CB-A62A-15C6E1B3AE41}"/>
    <hyperlink ref="K126" r:id="rId186" display="Contemporary\Coldplay\Paradise.mp3" xr:uid="{03ED9521-E382-4DB5-BBD3-4E45D5EA9B0A}"/>
    <hyperlink ref="D127" r:id="rId187" xr:uid="{56291B74-F3CC-4DEE-BFB0-B36C671506A9}"/>
    <hyperlink ref="D128" r:id="rId188" display="Contemporary\Jim Croce\Photographs And Memories.txt" xr:uid="{94F53C46-6909-44B0-A2DB-184DA255AFBE}"/>
    <hyperlink ref="K128" r:id="rId189" display="Contemporary\Jim Croce\Photographs And Memories.mp3" xr:uid="{AE4ECAAC-08DF-43E1-87AF-E5724C6BE3CF}"/>
    <hyperlink ref="D129" r:id="rId190" display="Contemporary\Billy Joel\Piano Man.txt" xr:uid="{8F16F930-17A2-4B75-9F53-884CBC0867F6}"/>
    <hyperlink ref="K129" r:id="rId191" display="Contemporary\Billy Joel\Piano Man.mp3" xr:uid="{B4431AC0-517A-4320-9510-403D423192BD}"/>
    <hyperlink ref="D134" r:id="rId192" display="Contemporary\Plain White T's\Rhythm of Love.txt" xr:uid="{4CE1B01C-49C3-4563-A310-E30AB5C042B0}"/>
    <hyperlink ref="K134" r:id="rId193" display="Contemporary\Plain White T's\Rhythm of Love.mp3" xr:uid="{C8300E9E-00ED-4785-BC32-A7046CB65BA2}"/>
    <hyperlink ref="D136" r:id="rId194" display="Contemporary\Eric Hutchinson\Rock 'n' Roll.txt" xr:uid="{F1052548-FA65-4C0B-9F7F-3A3169D2DF7A}"/>
    <hyperlink ref="K136" r:id="rId195" display="Contemporary\Eric Hutchinson\Rock 'n' Roll.mp3" xr:uid="{526B9A67-68A0-4DCA-976D-6A3568D81652}"/>
    <hyperlink ref="D137" r:id="rId196" display="Contemporary\Elton John\Rocket Man.txt" xr:uid="{DA9261D6-0265-4BBF-835B-0E79147B1E14}"/>
    <hyperlink ref="D138" r:id="rId197" display="Contemporary\Adele\Rolling In The Deep.txt" xr:uid="{69F0D633-EA82-40E2-873A-43A56C722FD3}"/>
    <hyperlink ref="D140" r:id="rId198" display="Contemporary\The White Stripes\Seven Nation Army.txt" xr:uid="{F182E003-8EE1-4C89-9369-76CB13724EF5}"/>
    <hyperlink ref="D141" r:id="rId199" display="Contemporary\Plan B\She Said.txt" xr:uid="{DC4C8263-CA28-4AC5-93EB-24C5223B0606}"/>
    <hyperlink ref="K141" r:id="rId200" display="Contemporary\Plan B\She Said.mp3" xr:uid="{2F49FB8E-1013-452D-BE88-660E313A953E}"/>
    <hyperlink ref="D142" r:id="rId201" display="Contemporary\Maroon 5\She Will Be Loved.txt" xr:uid="{58114677-08C7-429E-B05E-6BDB260C7A3C}"/>
    <hyperlink ref="K142" r:id="rId202" display="Contemporary\Maroon 5\She Will Be Loved.mp3" xr:uid="{5152A8AC-CE68-43E9-9208-A63A20A56CCF}"/>
    <hyperlink ref="D143" r:id="rId203" display="Contemporary\Sade\Smooth Operator.txt" xr:uid="{BE241BA8-1003-4874-9823-F70F50AB34C6}"/>
    <hyperlink ref="K143" r:id="rId204" display="Contemporary\Sade\Smooth Operator.mp3" xr:uid="{A3EB756E-4EC0-47FD-8DB9-06BE6BD3F437}"/>
    <hyperlink ref="D144" r:id="rId205" display="Contemporary\Red Hot Chili Peppers\Snow.txt" xr:uid="{4B9DA5C4-F782-41B9-8F32-9A9CD218E095}"/>
    <hyperlink ref="D145" r:id="rId206" display="Contemporary\Adele\Someone Like You.txt" xr:uid="{3B1A1A46-BCD2-401D-8F29-CEBDE37388DA}"/>
    <hyperlink ref="K145" r:id="rId207" display="Contemporary\Adele\Someone Like You.mp3" xr:uid="{5F2CC078-97AC-47AE-8067-94CDE17AD85F}"/>
    <hyperlink ref="D146" r:id="rId208" display="Contemporary\Nickel Creek\Spit On A Stranger.txt" xr:uid="{885272F3-8CFC-4C96-A5C8-76CA61EE67E3}"/>
    <hyperlink ref="K146" r:id="rId209" display="Contemporary\Nickel Creek\Spit On A Stranger.mp3" xr:uid="{F51EEBB9-FB9F-43C7-B5BC-707F2968E1D0}"/>
    <hyperlink ref="D147" r:id="rId210" display="Contemporary\Ben E King\Stand By Me.txt" xr:uid="{D9CA45AE-B63F-4A74-9947-0C8EBDF1EF12}"/>
    <hyperlink ref="D148" r:id="rId211" display="Contemporary\Shaggy\Strength Of A Woman.txt" xr:uid="{C67ECDFD-AA6A-4A3B-B49B-FFE92E224C09}"/>
    <hyperlink ref="K148" r:id="rId212" display="Contemporary\Shaggy\Strength Of A Woman.mp3" xr:uid="{8FDDAEFB-7E6D-4268-B204-8E82A9629C1D}"/>
    <hyperlink ref="D149" r:id="rId213" display="Contemporary\Stealers Wheel\Stuck In The Middle With You.txt" xr:uid="{3210D163-9B04-453A-AB31-811FAD92B166}"/>
    <hyperlink ref="K149" r:id="rId214" display="Contemporary\Stealers Wheel\Stuck In The Middle With You.mp3" xr:uid="{52519737-13B7-4F50-BEC3-40E733B00668}"/>
    <hyperlink ref="D150" r:id="rId215" display="Contemporary\The Archies\Sugar (Honey, Honey).txt" xr:uid="{D014E3EE-0836-482D-B332-CEE6D7E200D4}"/>
    <hyperlink ref="K150" r:id="rId216" display="Contemporary\The Archies\Sugar (Honey, Honey).mp3" xr:uid="{11D1C772-1CD7-4F17-B1DF-AFB8649E0D69}"/>
    <hyperlink ref="D151" r:id="rId217" display="Contemporary\Dire Straits\Sultans Of Swing.txt" xr:uid="{2398C6FB-D9B6-4FD0-A0B4-6CA994C405BA}"/>
    <hyperlink ref="D152" r:id="rId218" display="Contemporary\Lazlo Bane\Superman.txt" xr:uid="{8469F0C2-B8F1-4AD4-BE94-42F313248FE2}"/>
    <hyperlink ref="K152" r:id="rId219" display="Contemporary\Lazlo Bane\Superman.mp3" xr:uid="{179E689D-F5E8-44AB-8569-19A49B658C36}"/>
    <hyperlink ref="D153" r:id="rId220" display="Contemporary\Coldplay\Swallowed in the Sea.txt" xr:uid="{4818127C-1345-4AB6-8061-B08614D366C7}"/>
    <hyperlink ref="K153" r:id="rId221" display="Contemporary\Coldplay\Swallowed in the Sea.mp3" xr:uid="{13BD0745-F9E0-4162-A3C5-3BF9F77FF005}"/>
    <hyperlink ref="D154" r:id="rId222" display="Contemporary\Guns n Roses\Sweet Child Of Mine.txt" xr:uid="{FC25B1D3-C757-4B86-95BD-16F7D776EB0F}"/>
    <hyperlink ref="D155" r:id="rId223" display="Contemporary\Dave Brubeck\Take Five.txt" xr:uid="{CC5873D7-EDA5-4B48-BEBC-0937DD183092}"/>
    <hyperlink ref="D156" r:id="rId224" display="Contemporary\Eric Clapton\Tears in Heaven.txt" xr:uid="{A1859D3B-494B-48CD-9175-3564A7A6ED3F}"/>
    <hyperlink ref="K156" r:id="rId225" display="Contemporary\Eric Clapton\Tears in Heaven.mp3" xr:uid="{BF74B359-DA92-47EF-ABE9-B28ABAD7AA10}"/>
    <hyperlink ref="D157" r:id="rId226" display="Contemporary\Engelbert Humperdinck\Ten Guitars.txt" xr:uid="{DB29F168-E992-42ED-A184-693921549BDB}"/>
    <hyperlink ref="D158" r:id="rId227" display="Contemporary\Simon and Garfunkel\The Boxer.txt" xr:uid="{B56D1F18-707F-41E1-A7F1-77A5BF7F6E6A}"/>
    <hyperlink ref="K158" r:id="rId228" display="Contemporary\Simon and Garfunkel\The Boxer.mp3" xr:uid="{B618C9A3-A869-4CBB-802A-5F6767C7AC92}"/>
    <hyperlink ref="D159" r:id="rId229" display="Contemporary\Mumford And Sons\The Cave.txt" xr:uid="{1969E8E1-204B-4AFF-8851-97C58E35403D}"/>
    <hyperlink ref="K159" r:id="rId230" display="Contemporary\Mumford And Sons\The Cave.mp3" xr:uid="{358CADCF-ED0E-4EF7-9227-A659524F0EB0}"/>
    <hyperlink ref="D160" r:id="rId231" display="Contemporary\The Steve Miller Band\The Joker.txt" xr:uid="{93323607-A8D7-4DBB-848E-BFBEA57D88AF}"/>
    <hyperlink ref="K160" r:id="rId232" display="Contemporary\The Steve Miller Band\The Joker.mp3" xr:uid="{A7754F14-CC1E-41CA-9F9C-3692A6023E62}"/>
    <hyperlink ref="D161" r:id="rId233" display="Contemporary\Bruno Mars\The Lazy Song.txt" xr:uid="{40AF8A3D-089C-4720-B790-28A6FC6E0AF4}"/>
    <hyperlink ref="K161" r:id="rId234" display="Contemporary\Bruno Mars\The Lazy Song.mp3" xr:uid="{B39BC711-A99F-4AB2-8E77-9E6ADFFF1C77}"/>
    <hyperlink ref="D162" r:id="rId235" display="Contemporary\Coldplay\The Scientist.txt" xr:uid="{49BC5EB6-9F41-4F61-9A61-BAFFB5848CE4}"/>
    <hyperlink ref="K162" r:id="rId236" display="Contemporary\Coldplay\The Scientist.mp3" xr:uid="{951B57D9-AB54-4C55-BC4E-ED56CA1948D3}"/>
    <hyperlink ref="D163" r:id="rId237" display="Contemporary\Simon and Garfunkel\The Sound of Silence.txt" xr:uid="{1FBC7C93-3A63-4E59-BD54-4769503C0A0F}"/>
    <hyperlink ref="K163" r:id="rId238" display="Contemporary\Simon and Garfunkel\The Sound of Silence.mp3" xr:uid="{1D96274D-B2FE-4060-AD57-117872C20255}"/>
    <hyperlink ref="D164" r:id="rId239" display="Contemporary\Blondie\The Tide Is High.txt" xr:uid="{1AD20097-E657-4E19-BF67-7E6E4356B072}"/>
    <hyperlink ref="K164" r:id="rId240" display="Contemporary\Blondie\The Tide Is High.mp3" xr:uid="{C588850A-BFE6-49B5-BE51-8CDF81B7073B}"/>
    <hyperlink ref="D165" r:id="rId241" display="Contemporary\Bob Dylan\The Times They Are A-Changin'.txt" xr:uid="{9DE61342-39E9-43C8-B929-C5262A042A08}"/>
    <hyperlink ref="K165" r:id="rId242" display="Contemporary\Bob Dylan\The Times They Are A-Changin'.mp3" xr:uid="{6533DDB4-35CB-41A1-812F-388BE26355C1}"/>
    <hyperlink ref="D166" r:id="rId243" display="Contemporary\Ingrid Michaelson\The Way I Am.txt" xr:uid="{9BC3B629-E69F-4974-B803-A9367143A87D}"/>
    <hyperlink ref="K166" r:id="rId244" display="Contemporary\Ingrid Michaelson\The Way I Am.mp3" xr:uid="{6E6CD5E2-9315-44BD-9619-0F6188D5B153}"/>
    <hyperlink ref="D167" r:id="rId245" display="Contemporary\Frank Sinatra\The Way You Look Tonight.txt" xr:uid="{38450C48-41CE-4321-8A22-CCE34B3E0848}"/>
    <hyperlink ref="K167" r:id="rId246" display="Contemporary\Frank Sinatra\The Way You Look Tonight.m4a" xr:uid="{2F10A280-0F6E-491F-91BB-7FF98CE62C45}"/>
    <hyperlink ref="D168" r:id="rId247" display="Contemporary\Michael Jackson\The Way You Make Me Feel.txt" xr:uid="{64F6BAC3-76C0-49ED-9A34-104FF622536F}"/>
    <hyperlink ref="K168" r:id="rId248" display="Contemporary\Michael Jackson\The Way You Make Me Feel.mp3" xr:uid="{7F88FE33-A7E0-416F-B593-B0E1AE799ED5}"/>
    <hyperlink ref="D169" r:id="rId249" display="Contemporary\Ed Sheeran\Thinking Out Loud.txt" xr:uid="{86604FAD-32F8-4AAC-8346-2A326DE934CD}"/>
    <hyperlink ref="K169" r:id="rId250" display="Contemporary\Ed Sheeran\Thinking Out Loud.mp3" xr:uid="{DD1E5425-4437-499B-9BC0-41200082E056}"/>
    <hyperlink ref="D172" r:id="rId251" display="Contemporary\Eva Cassidy\Time After Time.txt" xr:uid="{3A0FEB8E-FFD8-4163-9B93-F98A0026EFFA}"/>
    <hyperlink ref="K172" r:id="rId252" display="Contemporary\Eva Cassidy\Time After Time.mp3" xr:uid="{B8479059-2FD7-435A-8A76-38153D60B303}"/>
    <hyperlink ref="D173" r:id="rId253" display="Contemporary\Jim Croce\Time In A Bottle.txt" xr:uid="{E50DA090-685A-4EF7-BCEC-15015D9B291B}"/>
    <hyperlink ref="K173" r:id="rId254" display="Contemporary\Jim Croce\Time In A Bottle.mp3" xr:uid="{268A56BD-C9D0-4B6A-82F9-DE30EDE9CF72}"/>
    <hyperlink ref="D174" r:id="rId255" display="Contemporary\David Guetta\Titanium.txt" xr:uid="{1E99F54C-386E-4AC1-9035-603C943A2507}"/>
    <hyperlink ref="D175" r:id="rId256" display="Contemporary\Mr Big\To Be With You.txt" xr:uid="{5DBC7D63-3100-4531-A262-C6E046BFE79C}"/>
    <hyperlink ref="K175" r:id="rId257" display="Contemporary\Mr Big\To Be With You.m4a" xr:uid="{3A7484A9-2030-4A66-B15D-31A5E454D7A2}"/>
    <hyperlink ref="K176" r:id="rId258" display="Contemporary\The Carpenters\Top Of The World.mp3" xr:uid="{6FCEEFEF-ED43-4100-AE2D-A310F4CEB8A6}"/>
    <hyperlink ref="D179" r:id="rId259" display="Contemporary\Various\Under The Sea.txt" xr:uid="{C09394EC-550C-4DBD-9012-CDB2FCBCD107}"/>
    <hyperlink ref="D180" r:id="rId260" display="Contemporary\Sting\Until.txt" xr:uid="{49D3A907-2FBE-4F75-8FB9-A5ABA1A2C120}"/>
    <hyperlink ref="K180" r:id="rId261" display="Contemporary\Sting\Until.mp3" xr:uid="{5610157D-9663-48DB-A3CF-114D3E8B7E1B}"/>
    <hyperlink ref="D181" r:id="rId262" display="Contemporary\Billy Joel\Uptown Girl.txt" xr:uid="{3B087C6D-5C14-4811-B723-C3DDC75C717A}"/>
    <hyperlink ref="K181" r:id="rId263" display="Contemporary\Billy Joel\Uptown Girl.mp3" xr:uid="{A1521762-B281-4536-8CA3-C634F4BC37CF}"/>
    <hyperlink ref="D182" r:id="rId264" display="Contemporary\Owl City\Vanilla Twilight.txt" xr:uid="{E697985D-2C39-4E1F-9709-AE9205D84D5F}"/>
    <hyperlink ref="K182" r:id="rId265" display="Contemporary\Owl City\Vanilla Twilight.mp3" xr:uid="{5F92282A-87EC-4BE3-A39C-EC8CAF300DD0}"/>
    <hyperlink ref="D183" r:id="rId266" display="Contemporary\Shocking Blue\Venus.txt" xr:uid="{2B1F9DEA-85C1-48F4-AC11-D6E6BD071854}"/>
    <hyperlink ref="K183" r:id="rId267" display="Contemporary\Shocking Blue\Venus.mp3" xr:uid="{6D3C8FC5-5EC9-404B-8EF2-93EE6F5C0AC4}"/>
    <hyperlink ref="D184" r:id="rId268" display="Contemporary\Coldplay\Viva La Vida.txt" xr:uid="{D9D07089-2DDA-46FE-862A-BE72F8131914}"/>
    <hyperlink ref="K184" r:id="rId269" display="Contemporary\Coldplay\Viva La Vida.mp3" xr:uid="{0C65C285-49ED-4A3D-8BB0-8410C2B08DC7}"/>
    <hyperlink ref="D185" r:id="rId270" display="Contemporary\Avicii\Wake Me Up.txt" xr:uid="{C5F856AB-06AF-4E8A-AF87-79235E86C4F5}"/>
    <hyperlink ref="D186" r:id="rId271" display="Contemporary\Green Day\Wake Me Up When September Ends.txt" xr:uid="{E212E59F-691E-4EB5-A5E8-B8D27F94BA0E}"/>
    <hyperlink ref="K186" r:id="rId272" display="Contemporary\Green Day\Wake Me Up When September Ends.mp3" xr:uid="{49C758F2-D5A0-4FCE-AB0A-AA840C157565}"/>
    <hyperlink ref="D188" r:id="rId273" display="Contemporary\Hugh Grant\Way Back Into Love.txt" xr:uid="{037DC842-5999-40F4-9798-01EB5DCD6867}"/>
    <hyperlink ref="K188" r:id="rId274" display="Contemporary\Hugh Grant\Way Back Into Love.mp3" xr:uid="{E4E6E0CB-1BB4-4E7E-958C-01B034773435}"/>
    <hyperlink ref="D189" r:id="rId275" display="Contemporary\Louis Armstrong\What A Wonderful World.txt" xr:uid="{FF1C1E96-B4AA-4E7E-8460-7F1A3ED334F5}"/>
    <hyperlink ref="K189" r:id="rId276" display="Contemporary\Louis Armstrong\What A Wonderful World.mp3" xr:uid="{7CCB79B0-8E3D-4274-AD97-598C21D37BFE}"/>
    <hyperlink ref="D190" r:id="rId277" display="Contemporary\4 Non Blondes\What's Up.txt" xr:uid="{C0B26763-BFCD-4FCD-A7C3-A6ED3327236F}"/>
    <hyperlink ref="K190" r:id="rId278" display="Contemporary\4 Non Blondes\What's Up.mp3" xr:uid="{2D3CC788-432A-4969-AF9C-1AA8C6C4D513}"/>
    <hyperlink ref="D191" r:id="rId279" display="Contemporary\The Killers\When You Were Young.txt" xr:uid="{D3FBDAB0-F396-4ADB-AE9C-8C21CB217A7B}"/>
    <hyperlink ref="K191" r:id="rId280" display="Contemporary\The Killers\When You Were Young.mp3" xr:uid="{5D1373E5-4F9B-4AE6-98AA-0A749BB99570}"/>
    <hyperlink ref="D192" r:id="rId281" display="Contemporary\Dido\White Flag.txt" xr:uid="{D2E4056B-4ED8-4DC2-9D96-F47C54C0B230}"/>
    <hyperlink ref="K192" r:id="rId282" display="Contemporary\Dido\White Flag.mp3" xr:uid="{3018FD1F-7F21-44FE-93FB-F37B35D6AFDF}"/>
    <hyperlink ref="D193" r:id="rId283" display="Contemporary\Chris Isaak\Wicked Game.txt" xr:uid="{5A416FE3-EB87-488B-A6D7-FA7744A6BF9E}"/>
    <hyperlink ref="K193" r:id="rId284" display="Contemporary\Chris Isaak\Wicked Game.m4a" xr:uid="{CD89F2DE-EFB0-4CF3-AD63-B1B293E0AED3}"/>
    <hyperlink ref="D194" r:id="rId285" display="Contemporary\Cat Stevens\Wild World.txt" xr:uid="{BFC1CC31-5C1E-4C1B-9C02-924840C73BD8}"/>
    <hyperlink ref="K194" r:id="rId286" display="Contemporary\Cat Stevens\Wild World.mp3" xr:uid="{EFDC298B-BC27-41AC-A47C-D304011128A7}"/>
    <hyperlink ref="D195" r:id="rId287" display="Contemporary\James Blunt\Wisemen.txt" xr:uid="{3F210D56-8C6A-401E-ACE1-4BB80C431FF8}"/>
    <hyperlink ref="K195" r:id="rId288" display="Contemporary\James Blunt\Wisemen.mp3" xr:uid="{ECF40E55-7C38-4FFB-9B78-DD0B5AC13C48}"/>
    <hyperlink ref="D196" r:id="rId289" display="Contemporary\Pink Floyd\Wish You Were Here.txt" xr:uid="{6CF799CD-8CCD-4908-A23B-D9A052F6E064}"/>
    <hyperlink ref="K196" r:id="rId290" display="Contemporary\Pink Floyd\Wish You Were Here.mp3" xr:uid="{1A011EDF-0E65-409A-B292-C6F743E27EC3}"/>
    <hyperlink ref="D197" r:id="rId291" display="Contemporary\Eric Clapton\Wonderful Tonight.txt" xr:uid="{62787558-4439-4308-9721-5442BF0F3486}"/>
    <hyperlink ref="K197" r:id="rId292" display="Contemporary\Eric Clapton\Wonderful Tonight.mp3" xr:uid="{5B9C9CB8-2D87-43C0-8ABA-F25A039D4E5D}"/>
    <hyperlink ref="D198" r:id="rId293" display="Contemporary\Oasis\Wonderwall.txt" xr:uid="{9DB3DF34-1E82-4E90-968B-D53C221C6D8A}"/>
    <hyperlink ref="K198" r:id="rId294" display="Contemporary\Oasis\Wonderwall.mp3" xr:uid="{8C5ACD0A-9EA0-48C6-A21D-C97764BA70E2}"/>
    <hyperlink ref="D199" r:id="rId295" display="Contemporary\Coldplay\Yellow.txt" xr:uid="{5F231D0B-7EF5-4CFD-A187-F9BECBDB83F6}"/>
    <hyperlink ref="K199" r:id="rId296" display="Contemporary\Coldplay\Yellow.mp3" xr:uid="{2C631C03-EF36-40C2-B548-E3D5A57A2204}"/>
    <hyperlink ref="D200" r:id="rId297" display="Contemporary\The Beatles\Yesterday.txt" xr:uid="{FAC993B6-3CDC-406E-BEB4-C08CF95D063A}"/>
    <hyperlink ref="K200" r:id="rId298" display="Contemporary\The Beatles\Yesterday.mp3" xr:uid="{533EECDB-6D42-481E-A850-23C141DB447C}"/>
    <hyperlink ref="D201" r:id="rId299" display="Contemporary\Lifehouse\You and Me.txt" xr:uid="{BE58CC3B-FCD5-48D3-A47C-FEF57C7D99CD}"/>
    <hyperlink ref="K201" r:id="rId300" display="Contemporary\Lifehouse\You and Me.mp3" xr:uid="{0998781D-D190-4276-BCFA-F6C62209AB64}"/>
    <hyperlink ref="D202" r:id="rId301" display="Contemporary\Bryan Adams\You Belong To Me.txt" xr:uid="{19246137-A417-44AA-A90B-467715C64A9C}"/>
    <hyperlink ref="K202" r:id="rId302" display="Contemporary\Bryan Adams\You Belong To Me.mp3" xr:uid="{45DD52A8-B082-408D-9CDD-CE593882C708}"/>
    <hyperlink ref="D204" r:id="rId303" display="Contemporary\James Blunt\You're Beautiful.txt" xr:uid="{775D9FF3-6DEB-4B81-93ED-0B406297DB71}"/>
    <hyperlink ref="K204" r:id="rId304" display="Contemporary\James Blunt\You're Beautiful.mp3" xr:uid="{AA7304C8-3344-4EDD-A6C9-6A4B4946D828}"/>
    <hyperlink ref="D205" r:id="rId305" display="Contemporary\The Beatles\You've Got To Hide Your Love Away.txt" xr:uid="{F1853AC2-2686-487B-9A5F-27139DF2B1EB}"/>
    <hyperlink ref="D203" r:id="rId306" display="Contemporary\Elton John\Your Song.txt" xr:uid="{E7DBA659-14C0-4889-B6C0-565F5BEC19FB}"/>
    <hyperlink ref="K203" r:id="rId307" display="Contemporary\Elton John\Your Song.mp3" xr:uid="{D8640358-F277-4175-92EC-2095CD4C3330}"/>
    <hyperlink ref="D206" r:id="rId308" display="Contemporary\The Cranberries\Zombie.txt" xr:uid="{EB2F2F7A-C056-466B-AA5A-DA2688C4B257}"/>
    <hyperlink ref="D88" r:id="rId309" display="Contemporary\The Beatles\I Wanna Hold Your Hand.txt" xr:uid="{52C98362-C479-49BB-9EC7-D7BF5B62D427}"/>
    <hyperlink ref="D176" r:id="rId310" display="Contemporary\The Carpenters\Top Of The World.txt" xr:uid="{0E97FEEE-502F-45D6-ADAC-42D2C6BA9E07}"/>
    <hyperlink ref="D178" r:id="rId311" display="Contemporary\Red Hot Chili Peppers\Under The Bridge.txt" xr:uid="{268D23F6-CC71-4F4E-95E8-05A09341AB23}"/>
    <hyperlink ref="D187" r:id="rId312" display="Way Back Into Love" xr:uid="{B9B0E678-2DFB-4A89-B6E6-685D90C4885F}"/>
    <hyperlink ref="D19" r:id="rId313" display="Contemporary\The Weeknd\Blinding Lights.txt" xr:uid="{4585C0A7-47AB-451E-9FA7-83FCF66E125C}"/>
    <hyperlink ref="D117" r:id="rId314" display="Contemporary\The Killers\Mr Brightside.txt" xr:uid="{E6ABD50C-C32F-445F-8AD2-6B04B6998A21}"/>
    <hyperlink ref="D177" r:id="rId315" xr:uid="{8F523A82-CCCE-4CB7-8C70-868972420E5D}"/>
    <hyperlink ref="D28" r:id="rId316" xr:uid="{34082A61-A148-468A-B82A-E34401E594F6}"/>
    <hyperlink ref="D120" r:id="rId317" xr:uid="{B55ACCED-7307-46AE-BC11-0A80864861A8}"/>
    <hyperlink ref="K19" r:id="rId318" xr:uid="{684BD6CF-69F5-46CB-8DDD-1F44A7EE406C}"/>
    <hyperlink ref="K24" r:id="rId319" xr:uid="{63AD8852-1EC6-492C-883A-B40C9E2E5E7B}"/>
    <hyperlink ref="K28" r:id="rId320" xr:uid="{4BFCB7F7-2BC0-4A40-97C2-580C339693D3}"/>
    <hyperlink ref="D71" r:id="rId321" xr:uid="{BA5E6209-68AB-462B-80AB-1877CFDEEED2}"/>
    <hyperlink ref="D132" r:id="rId322" display="Contemporary\Engelbert Humperdinck\Quando Quando Quando.txt" xr:uid="{CC665373-C5C9-49DC-935C-BBDC2D0A5724}"/>
    <hyperlink ref="D131" r:id="rId323" display="Contemporary\Jessie J\Price Tag.txt" xr:uid="{3119673F-F3FA-40D3-8B0C-BAD674B83E2C}"/>
    <hyperlink ref="K130" r:id="rId324" display="Contemporary\Johnny Tillotson\Poetry In Motion.mp3" xr:uid="{45009E8D-868C-4C87-AF3E-EDDCCD299097}"/>
    <hyperlink ref="D130" r:id="rId325" display="Contemporary\Johnny Tillotson\Poetry In Motion.txt" xr:uid="{8D08C499-3BBF-4705-9B77-653AFF6E64C8}"/>
    <hyperlink ref="D107" r:id="rId326" xr:uid="{8FA7674F-9E3E-485C-80A1-2EC9A422889B}"/>
    <hyperlink ref="D133" r:id="rId327" display="Contemporary\Various\Que Sera Sera.txt" xr:uid="{1D93D5A6-3AEB-40F4-B0A5-6241D97A2C52}"/>
    <hyperlink ref="K10" r:id="rId328" display="Contemporary\Everly Brothers\All I Have To Do Is Dream.mp3" xr:uid="{757FF7A5-9BD1-45D8-9E69-048A63F957DD}"/>
    <hyperlink ref="D10" r:id="rId329" display="Contemporary\Everly Brothers\All I Have To Do Is Dream.txt" xr:uid="{63271EA0-95A7-4388-A037-0105050E0F39}"/>
    <hyperlink ref="K9" r:id="rId330" display="Contemporary\McFly\All About You.mp3" xr:uid="{E99C5D95-34ED-4F8B-93D9-9445CB208E62}"/>
    <hyperlink ref="D9" r:id="rId331" display="Contemporary\McFly\All About You.txt" xr:uid="{95F98460-1908-414E-8AE2-B3F0D9EFE61D}"/>
    <hyperlink ref="K7" r:id="rId332" display="Contemporary\Toto\Africa.mp3" xr:uid="{28190120-158C-4005-849A-6FBB1F37E84A}"/>
    <hyperlink ref="D7" r:id="rId333" display="Contemporary\Toto\Africa.txt" xr:uid="{D226D756-B383-4226-A70D-A93DDC8EAF46}"/>
    <hyperlink ref="K6" r:id="rId334" display="Contemporary\Coldplay\Adventure Of A Lifetime.mp3" xr:uid="{C0F7AA55-B279-4FBF-BD1F-D90C162CAED9}"/>
    <hyperlink ref="D6" r:id="rId335" display="Contemporary\Coldplay\Adventure Of A Lifetime.txt" xr:uid="{A252CB63-240A-4E6D-82F2-BD46885F73A0}"/>
    <hyperlink ref="D5" r:id="rId336" display="Contemporary\Robbie Williams\A Man For All Seasons.txt" xr:uid="{E394DD97-7303-4716-91B2-C3E2A8627395}"/>
    <hyperlink ref="K5" r:id="rId337" xr:uid="{2044177B-9209-4C99-9F66-41EE7002B54D}"/>
    <hyperlink ref="D4" r:id="rId338" display="Contemporary\Eric Hutchinson\A Little More.txt" xr:uid="{9E814A88-A461-4DA9-B31E-91FB3279AF93}"/>
    <hyperlink ref="K4" r:id="rId339" display="Contemporary\Eric Hutchinson\A Little More (acoustic).mp3" xr:uid="{A0C9D06F-7125-4539-94CE-ACD2607DAD6B}"/>
    <hyperlink ref="K3" r:id="rId340" display="Contemporary\James Blunt\1973.mp3" xr:uid="{0B97DB78-44D0-4AA2-99CD-EFE05680941B}"/>
    <hyperlink ref="D3" r:id="rId341" display="Contemporary\James Blunt\1973.txt" xr:uid="{69FE8E1A-99DB-42C6-88D7-6B09687C7FA6}"/>
    <hyperlink ref="D85" r:id="rId342" display="Contemporary\The Eagles\Hotel California.txt" xr:uid="{43F319E7-AC6B-41C5-8D2E-A2384BCF774C}"/>
    <hyperlink ref="K85" r:id="rId343" display="Contemporary\The Eagles\Hotel California.mp3" xr:uid="{DBA35426-7F97-463A-9F32-1E1CA65F86A6}"/>
    <hyperlink ref="K139" r:id="rId344" xr:uid="{5C995004-9763-4AD3-97EF-4CCA2E043E10}"/>
    <hyperlink ref="K22" r:id="rId345" xr:uid="{563FF3C6-EA5F-4211-815B-7BFFB14B9996}"/>
    <hyperlink ref="K25" r:id="rId346" xr:uid="{8CE5C6C7-1193-4E24-8A85-78030200559F}"/>
    <hyperlink ref="K29" r:id="rId347" xr:uid="{7BC9009D-7137-4410-88B6-059BDEBE19DE}"/>
    <hyperlink ref="K34" r:id="rId348" xr:uid="{9AAA3E51-0C84-4131-A82B-771F3E291950}"/>
    <hyperlink ref="K39" r:id="rId349" xr:uid="{BB375359-957A-49AD-9D43-0C1E6B110665}"/>
    <hyperlink ref="K40" r:id="rId350" xr:uid="{E1E699F1-F646-4A1F-8ACE-0A5513588BA1}"/>
    <hyperlink ref="K49" r:id="rId351" xr:uid="{AB2FED27-CB0A-4C9B-A0C2-A662C0F98CDF}"/>
    <hyperlink ref="K69" r:id="rId352" xr:uid="{0149C88A-C734-4F0A-AAC8-25A9A2726EE5}"/>
    <hyperlink ref="K79" r:id="rId353" xr:uid="{4901BC59-AF73-440E-9BAD-5228C264FA71}"/>
    <hyperlink ref="K87" r:id="rId354" xr:uid="{5C0A1EEF-EAC0-4BD0-89DE-BBD6104FE192}"/>
    <hyperlink ref="K88" r:id="rId355" xr:uid="{7702202C-5BA2-4E51-9A9D-D7E3B4B247B5}"/>
    <hyperlink ref="K107" r:id="rId356" xr:uid="{7B0D107F-ADB3-4F77-9D5E-24EF9173ECAE}"/>
    <hyperlink ref="K117" r:id="rId357" xr:uid="{C4848E96-071A-4CB2-82A3-DBCDC0461228}"/>
    <hyperlink ref="D119" r:id="rId358" xr:uid="{6420F14D-8BF6-4608-9DB9-2421AA76B9AC}"/>
    <hyperlink ref="K119" r:id="rId359" xr:uid="{174272D9-D333-48BF-909F-3C97E1D722BE}"/>
    <hyperlink ref="K120" r:id="rId360" xr:uid="{3E140AB2-7E13-4287-B5BD-B3911C0C2BA2}"/>
    <hyperlink ref="K124" r:id="rId361" xr:uid="{2F6412DF-659D-454F-AFEF-8BBD9F80766E}"/>
    <hyperlink ref="K127" r:id="rId362" xr:uid="{B7B2ED98-5DC3-4B5C-ABB2-99A22A7931D0}"/>
    <hyperlink ref="K131" r:id="rId363" xr:uid="{0707EA61-3A8E-4BFB-A781-CED33A13C968}"/>
    <hyperlink ref="K132" r:id="rId364" xr:uid="{3FD0A2AD-35E6-4873-B1BC-6BABC4D7209D}"/>
    <hyperlink ref="K154" r:id="rId365" xr:uid="{88C5C96C-9244-4309-A07A-F15930D60095}"/>
    <hyperlink ref="K151" r:id="rId366" xr:uid="{F7A4C880-B6C0-48B6-8A82-6691980B3A99}"/>
    <hyperlink ref="D95" r:id="rId367" display="Contemporary\Jason Mraz\I'm Yours.txt" xr:uid="{10C151CE-54F1-450E-91E6-7FA36613321D}"/>
    <hyperlink ref="K95" r:id="rId368" display="Contemporary\Jason Mraz\I'm Yours.mp3" xr:uid="{E3DA0EF2-EAA1-4CF6-9AEB-73F4182889A5}"/>
    <hyperlink ref="K30" r:id="rId369" xr:uid="{7C542128-B146-44E3-BDD7-5759477FABA7}"/>
    <hyperlink ref="K66" r:id="rId370" xr:uid="{23BF31E1-D550-4B30-B063-153F511018EE}"/>
    <hyperlink ref="K71" r:id="rId371" xr:uid="{AA514DD7-1A33-4754-901B-6C77F6D53A07}"/>
    <hyperlink ref="K144" r:id="rId372" xr:uid="{2CB63FF2-3EAC-4A14-A952-31A4B6CF0E4F}"/>
    <hyperlink ref="D35" r:id="rId373" xr:uid="{F1DA4EC4-B5B0-46F6-9365-30F397D76ECC}"/>
    <hyperlink ref="K35" r:id="rId374" xr:uid="{C8190A83-1678-43A7-82A6-9A305D890D4C}"/>
    <hyperlink ref="D8" r:id="rId375" xr:uid="{EC578685-B77E-43E4-ACAB-5943D59687DB}"/>
    <hyperlink ref="K8" r:id="rId376" xr:uid="{CDAE0EA8-4811-4286-A91D-0DA1C9AE6F15}"/>
    <hyperlink ref="D170" r:id="rId377" display="Contemporary\Maroon 5\This Love.txt" xr:uid="{56E54BDB-6C1E-458C-B33F-A1D70BBC6FD1}"/>
    <hyperlink ref="K170" r:id="rId378" display="Contemporary\Maroon 5\This Love.mp3" xr:uid="{0EE6BC62-5749-420D-9D6B-3E742134A293}"/>
    <hyperlink ref="D20" r:id="rId379" xr:uid="{37EA8B37-E95C-4237-B772-688243DAA7F8}"/>
    <hyperlink ref="K20" r:id="rId380" xr:uid="{3807DBBF-432A-4157-8246-A1C0DC6D73D8}"/>
    <hyperlink ref="K21" r:id="rId381" xr:uid="{4D33D52E-AA94-4C3B-BBA0-AEB9AB094A16}"/>
    <hyperlink ref="D74" r:id="rId382" xr:uid="{DA1C0B92-3BAE-4180-8859-E3A515C515E0}"/>
    <hyperlink ref="K74" r:id="rId383" xr:uid="{DD2C1B42-1CD2-4D81-AF2F-E8F7942CEAAF}"/>
    <hyperlink ref="D47" r:id="rId384" display="Contemporary\Norah Jones\Don't Know Why.txt" xr:uid="{65161B63-CB7D-4DB6-B592-9B663F41C9FE}"/>
    <hyperlink ref="K47" r:id="rId385" display="Contemporary\Norah Jones\Don't Know Why.mp3" xr:uid="{3EC087CF-D8C0-42C6-BF3F-FE1C22CB2254}"/>
    <hyperlink ref="D135" r:id="rId386" display="Contemporary\Johnny Cash\Ring Of Fire.txt" xr:uid="{F9B44916-DED6-404C-ABE2-81FF8CBB78C8}"/>
    <hyperlink ref="K171" r:id="rId387" xr:uid="{910F5549-279F-4BFF-AACF-9C2E523BFE0B}"/>
    <hyperlink ref="D171" r:id="rId388" xr:uid="{8862CF6F-4FE9-4C44-9117-E32180034D6C}"/>
  </hyperlinks>
  <printOptions horizontalCentered="1" gridLines="1"/>
  <pageMargins left="0.25" right="0.25" top="0.44027777777777799" bottom="0.49027777777777798" header="0.51180555555555496" footer="0.51180555555555496"/>
  <pageSetup paperSize="9" firstPageNumber="0" orientation="portrait" horizontalDpi="300" verticalDpi="300" r:id="rId38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7D82-3F20-4C1D-90B0-E2601131F36C}">
  <sheetPr codeName="Sheet5"/>
  <dimension ref="A1:A536"/>
  <sheetViews>
    <sheetView topLeftCell="A347" zoomScale="115" zoomScaleNormal="115" workbookViewId="0">
      <selection sqref="A1:A367"/>
    </sheetView>
  </sheetViews>
  <sheetFormatPr defaultRowHeight="12.75" x14ac:dyDescent="0.2"/>
  <cols>
    <col min="1" max="1" width="76.140625" customWidth="1"/>
  </cols>
  <sheetData>
    <row r="1" spans="1:1" ht="13.5" x14ac:dyDescent="0.25">
      <c r="A1" s="53" t="str">
        <f>IF((Contemporary!D1&lt;&gt;""),(CONCATENATE(Contemporary!D1,",",Contemporary!E1,",",Contemporary!G1,",",Contemporary!H1,",",Contemporary!P1,",",Contemporary!Q1,",",Contemporary!R1,",",Contemporary!T1,",",Contemporary!W1,",",Contemporary!B1,",",SUBSTITUTE(B1,",","%2c"),",",IF(Contemporary!K1&lt;&gt;"",Contemporary!K1,CONCATENATE(Contemporary!H1,";",Contemporary!I1)),",",Spotify!A1)),"")</f>
        <v>Title,Artist,Year,Genre,BPM,Energy,Dance,Valence,Popularity,WIP,,Tags,Spotify ID</v>
      </c>
    </row>
    <row r="2" spans="1:1" ht="13.5" hidden="1" x14ac:dyDescent="0.25">
      <c r="A2" s="53" t="str">
        <f>IF((Contemporary!D2&lt;&gt;""),(CONCATENATE(Contemporary!D2,",",Contemporary!E2,",",Contemporary!G2,",",Contemporary!H2,",",Contemporary!P2,",",Contemporary!Q2,",",Contemporary!R2,",",Contemporary!T2,",",Contemporary!W2,",",Contemporary!B2,",",SUBSTITUTE(B2,",","%2c"),",",IF(Contemporary!K2&lt;&gt;"",Contemporary!K2,CONCATENATE(Contemporary!H2,";",Contemporary!I2)),",",Spotify!A2)),"")</f>
        <v/>
      </c>
    </row>
    <row r="3" spans="1:1" ht="13.5" x14ac:dyDescent="0.25">
      <c r="A3" s="53" t="str">
        <f>IF((Contemporary!D3&lt;&gt;""),(CONCATENATE(Contemporary!D3,",",Contemporary!E3,",",Contemporary!G3,",",Contemporary!H3,",",Contemporary!P3,",",Contemporary!Q3,",",Contemporary!R3,",",Contemporary!T3,",",Contemporary!W3,",",Contemporary!B3,",",SUBSTITUTE(B3,",","%2c"),",",IF(Contemporary!K3&lt;&gt;"",Contemporary!K3,CONCATENATE(Contemporary!H3,";",Contemporary!I3)),",",Spotify!A3)),"")</f>
        <v>1973,James Blunt,2007,Rock,123,67,72,77,75,WIP,,;pop;alternative;love;dance,1BV0m40U0M4t1SLIsDnwZl</v>
      </c>
    </row>
    <row r="4" spans="1:1" ht="13.5" x14ac:dyDescent="0.25">
      <c r="A4" s="53" t="str">
        <f>IF((Contemporary!D4&lt;&gt;""),(CONCATENATE(Contemporary!D4,",",Contemporary!E4,",",Contemporary!G4,",",Contemporary!H4,",",Contemporary!P4,",",Contemporary!Q4,",",Contemporary!R4,",",Contemporary!T4,",",Contemporary!W4,",",Contemporary!B4,",",SUBSTITUTE(B4,",","%2c"),",",IF(Contemporary!K4&lt;&gt;"",Contemporary!K4,CONCATENATE(Contemporary!H4,";",Contemporary!I4)),",",Spotify!A4)),"")</f>
        <v>A Hard Day's Night,Beatles,1964,Rock,139,82,55,76,54,,,classic rock;psychedelic rock;dance;jive;fast;groovy;love;oldies;retro,1pctwlBtIcKIjQMzsVcGHB</v>
      </c>
    </row>
    <row r="5" spans="1:1" ht="13.5" x14ac:dyDescent="0.25">
      <c r="A5" s="53" t="str">
        <f>IF((Contemporary!D5&lt;&gt;""),(CONCATENATE(Contemporary!D5,",",Contemporary!E5,",",Contemporary!G5,",",Contemporary!H5,",",Contemporary!P5,",",Contemporary!Q5,",",Contemporary!R5,",",Contemporary!T5,",",Contemporary!W5,",",Contemporary!B5,",",SUBSTITUTE(B5,",","%2c"),",",IF(Contemporary!K5&lt;&gt;"",Contemporary!K5,CONCATENATE(Contemporary!H5,";",Contemporary!I5)),",",Spotify!A5)),"")</f>
        <v>A Little Less Conversation,Elvis Presley,1968,Rock,114,80,58,84,56,WIP,,rockabilly;rock and roll;dance;jive;fast;groovy;love;oldies;retro,47y8hRlWLEJ4VafE6LMjEZ</v>
      </c>
    </row>
    <row r="6" spans="1:1" ht="13.5" x14ac:dyDescent="0.25">
      <c r="A6" s="53" t="str">
        <f>IF((Contemporary!D6&lt;&gt;""),(CONCATENATE(Contemporary!D6,",",Contemporary!E6,",",Contemporary!G6,",",Contemporary!H6,",",Contemporary!P6,",",Contemporary!Q6,",",Contemporary!R6,",",Contemporary!T6,",",Contemporary!W6,",",Contemporary!B6,",",SUBSTITUTE(B6,",","%2c"),",",IF(Contemporary!K6&lt;&gt;"",Contemporary!K6,CONCATENATE(Contemporary!H6,";",Contemporary!I6)),",",Spotify!A6)),"")</f>
        <v>A Little More,Eric Hutchinson,2014,Rock,80,74,64,94,44,WIP,,;fast;dance;groovy;alternative,3AH12fVi34vJVqriMpM6Bo</v>
      </c>
    </row>
    <row r="7" spans="1:1" ht="13.5" x14ac:dyDescent="0.25">
      <c r="A7" s="53" t="str">
        <f>IF((Contemporary!D7&lt;&gt;""),(CONCATENATE(Contemporary!D7,",",Contemporary!E7,",",Contemporary!G7,",",Contemporary!H7,",",Contemporary!P7,",",Contemporary!Q7,",",Contemporary!R7,",",Contemporary!T7,",",Contemporary!W7,",",Contemporary!B7,",",SUBSTITUTE(B7,",","%2c"),",",IF(Contemporary!K7&lt;&gt;"",Contemporary!K7,CONCATENATE(Contemporary!H7,";",Contemporary!I7)),",",Spotify!A7)),"")</f>
        <v>A Man For All Seasons,Robbie Williams,2003,Soundtrack,124,74,58,82,42,WIP,,soundtrack;score;dance;groovy,3RIm56NRLSZYo1xgHlbPH4</v>
      </c>
    </row>
    <row r="8" spans="1:1" ht="13.5" x14ac:dyDescent="0.25">
      <c r="A8" s="53" t="str">
        <f>IF((Contemporary!D8&lt;&gt;""),(CONCATENATE(Contemporary!D8,",",Contemporary!E8,",",Contemporary!G8,",",Contemporary!H8,",",Contemporary!P8,",",Contemporary!Q8,",",Contemporary!R8,",",Contemporary!T8,",",Contemporary!W8,",",Contemporary!B8,",",SUBSTITUTE(B8,",","%2c"),",",IF(Contemporary!K8&lt;&gt;"",Contemporary!K8,CONCATENATE(Contemporary!H8,";",Contemporary!I8)),",",Spotify!A8)),"")</f>
        <v>A Sky Full Of Stars,Coldplay,2014,Rock,125,68,55,16,88,,,;alternative,0FDzzruyVECATHXKHFs9eJ</v>
      </c>
    </row>
    <row r="9" spans="1:1" ht="13.5" x14ac:dyDescent="0.25">
      <c r="A9" s="53" t="str">
        <f>IF((Contemporary!D9&lt;&gt;""),(CONCATENATE(Contemporary!D9,",",Contemporary!E9,",",Contemporary!G9,",",Contemporary!H9,",",Contemporary!P9,",",Contemporary!Q9,",",Contemporary!R9,",",Contemporary!T9,",",Contemporary!W9,",",Contemporary!B9,",",SUBSTITUTE(B9,",","%2c"),",",IF(Contemporary!K9&lt;&gt;"",Contemporary!K9,CONCATENATE(Contemporary!H9,";",Contemporary!I9)),",",Spotify!A9)),"")</f>
        <v>A Thousand Miles,Vanessa Carlton,2002,Pop,95,83,56,27,83,,,;dance;groovy;love;waltz,4w1lzcaoZ1IC2K5TwjalRP</v>
      </c>
    </row>
    <row r="10" spans="1:1" ht="13.5" x14ac:dyDescent="0.25">
      <c r="A10" s="53" t="str">
        <f>IF((Contemporary!D10&lt;&gt;""),(CONCATENATE(Contemporary!D10,",",Contemporary!E10,",",Contemporary!G10,",",Contemporary!H10,",",Contemporary!P10,",",Contemporary!Q10,",",Contemporary!R10,",",Contemporary!T10,",",Contemporary!W10,",",Contemporary!B10,",",SUBSTITUTE(B10,",","%2c"),",",IF(Contemporary!K10&lt;&gt;"",Contemporary!K10,CONCATENATE(Contemporary!H10,";",Contemporary!I10)),",",Spotify!A10)),"")</f>
        <v>A Thousand Years,Christina Perri,2011,Soundtrack,139,41,42,16,86,,,soft pop;love;slow,6lanRgr6wXibZr8KgzXxBl</v>
      </c>
    </row>
    <row r="11" spans="1:1" ht="13.5" x14ac:dyDescent="0.25">
      <c r="A11" s="53" t="str">
        <f>IF((Contemporary!D11&lt;&gt;""),(CONCATENATE(Contemporary!D11,",",Contemporary!E11,",",Contemporary!G11,",",Contemporary!H11,",",Contemporary!P11,",",Contemporary!Q11,",",Contemporary!R11,",",Contemporary!T11,",",Contemporary!W11,",",Contemporary!B11,",",SUBSTITUTE(B11,",","%2c"),",",IF(Contemporary!K11&lt;&gt;"",Contemporary!K11,CONCATENATE(Contemporary!H11,";",Contemporary!I11)),",",Spotify!A11)),"")</f>
        <v>Adventure Of A Lifetime,Coldplay,2015,Pop,112,92,64,53,88,,,;dance;alternative,69uxyAqqPIsUyTO8txoP2M</v>
      </c>
    </row>
    <row r="12" spans="1:1" ht="13.5" x14ac:dyDescent="0.25">
      <c r="A12" s="53" t="str">
        <f>IF((Contemporary!D12&lt;&gt;""),(CONCATENATE(Contemporary!D12,",",Contemporary!E12,",",Contemporary!G12,",",Contemporary!H12,",",Contemporary!P12,",",Contemporary!Q12,",",Contemporary!R12,",",Contemporary!T12,",",Contemporary!W12,",",Contemporary!B12,",",SUBSTITUTE(B12,",","%2c"),",",IF(Contemporary!K12&lt;&gt;"",Contemporary!K12,CONCATENATE(Contemporary!H12,";",Contemporary!I12)),",",Spotify!A12)),"")</f>
        <v>Africa,Toto,1982,Rock,93,37,67,73,90,,,yacht rock;soft rock;retro;oldies,2374M0fQpWi3dLnB54qaLX</v>
      </c>
    </row>
    <row r="13" spans="1:1" ht="13.5" x14ac:dyDescent="0.25">
      <c r="A13" s="53" t="str">
        <f>IF((Contemporary!D13&lt;&gt;""),(CONCATENATE(Contemporary!D13,",",Contemporary!E13,",",Contemporary!G13,",",Contemporary!H13,",",Contemporary!P13,",",Contemporary!Q13,",",Contemporary!R13,",",Contemporary!T13,",",Contemporary!W13,",",Contemporary!B13,",",SUBSTITUTE(B13,",","%2c"),",",IF(Contemporary!K13&lt;&gt;"",Contemporary!K13,CONCATENATE(Contemporary!H13,";",Contemporary!I13)),",",Spotify!A13)),"")</f>
        <v>After Midnight,J J Cale,1966,Rock,96,31,69,52,62,WIP,,blues;roots rock;blues rock;acoustic;groovy;oldies;retro,1PC5GV3OaoXx5em8ttQOMI</v>
      </c>
    </row>
    <row r="14" spans="1:1" ht="13.5" x14ac:dyDescent="0.25">
      <c r="A14" s="53" t="str">
        <f>IF((Contemporary!D14&lt;&gt;""),(CONCATENATE(Contemporary!D14,",",Contemporary!E14,",",Contemporary!G14,",",Contemporary!H14,",",Contemporary!P14,",",Contemporary!Q14,",",Contemporary!R14,",",Contemporary!T14,",",Contemporary!W14,",",Contemporary!B14,",",SUBSTITUTE(B14,",","%2c"),",",IF(Contemporary!K14&lt;&gt;"",Contemporary!K14,CONCATENATE(Contemporary!H14,";",Contemporary!I14)),",",Spotify!A14)),"")</f>
        <v>Aicha,Outlandish,2002,RnB,87,64,75,61,58,WIP,,dansk pop;,7mze3mJmu79AJu8SnS37pS</v>
      </c>
    </row>
    <row r="15" spans="1:1" ht="13.5" x14ac:dyDescent="0.25">
      <c r="A15" s="53" t="str">
        <f>IF((Contemporary!D15&lt;&gt;""),(CONCATENATE(Contemporary!D15,",",Contemporary!E15,",",Contemporary!G15,",",Contemporary!H15,",",Contemporary!P15,",",Contemporary!Q15,",",Contemporary!R15,",",Contemporary!T15,",",Contemporary!W15,",",Contemporary!B15,",",SUBSTITUTE(B15,",","%2c"),",",IF(Contemporary!K15&lt;&gt;"",Contemporary!K15,CONCATENATE(Contemporary!H15,";",Contemporary!I15)),",",Spotify!A15)),"")</f>
        <v>All About That Bass,Meghan Trainor,2014,Doo-wop,134,89,81,96,71,,,;dance;jive;groovy,5jE48hhRu8E6zBDPRSkEq7</v>
      </c>
    </row>
    <row r="16" spans="1:1" ht="13.5" x14ac:dyDescent="0.25">
      <c r="A16" s="53" t="str">
        <f>IF((Contemporary!D16&lt;&gt;""),(CONCATENATE(Contemporary!D16,",",Contemporary!E16,",",Contemporary!G16,",",Contemporary!H16,",",Contemporary!P16,",",Contemporary!Q16,",",Contemporary!R16,",",Contemporary!T16,",",Contemporary!W16,",",Contemporary!B16,",",SUBSTITUTE(B16,",","%2c"),",",IF(Contemporary!K16&lt;&gt;"",Contemporary!K16,CONCATENATE(Contemporary!H16,";",Contemporary!I16)),",",Spotify!A16)),"")</f>
        <v>All About You,McFly,2005,Rock,130,56,54,30,59,WIP,,;love;pop,0ElmwRAsaxaUZXnMbaSllH</v>
      </c>
    </row>
    <row r="17" spans="1:1" ht="13.5" x14ac:dyDescent="0.25">
      <c r="A17" s="53" t="str">
        <f>IF((Contemporary!D17&lt;&gt;""),(CONCATENATE(Contemporary!D17,",",Contemporary!E17,",",Contemporary!G17,",",Contemporary!H17,",",Contemporary!P17,",",Contemporary!Q17,",",Contemporary!R17,",",Contemporary!T17,",",Contemporary!W17,",",Contemporary!B17,",",SUBSTITUTE(B17,",","%2c"),",",IF(Contemporary!K17&lt;&gt;"",Contemporary!K17,CONCATENATE(Contemporary!H17,";",Contemporary!I17)),",",Spotify!A17)),"")</f>
        <v>All I Have To Do Is Dream,Everly Brothers,1958,Rock 'n' roll,96,46,53,53,70,,,doo-wop;love;slow;oldies;retro;sweet,7dblNGnRXEBrVJunazs2U5</v>
      </c>
    </row>
    <row r="18" spans="1:1" ht="13.5" x14ac:dyDescent="0.25">
      <c r="A18" s="53" t="str">
        <f>IF((Contemporary!D18&lt;&gt;""),(CONCATENATE(Contemporary!D18,",",Contemporary!E18,",",Contemporary!G18,",",Contemporary!H18,",",Contemporary!P18,",",Contemporary!Q18,",",Contemporary!R18,",",Contemporary!T18,",",Contemporary!W18,",",Contemporary!B18,",",SUBSTITUTE(B18,",","%2c"),",",IF(Contemporary!K18&lt;&gt;"",Contemporary!K18,CONCATENATE(Contemporary!H18,";",Contemporary!I18)),",",Spotify!A18)),"")</f>
        <v>All Star,Smash Mouth,1999,Rock,104,87,73,78,82,,,;alternative,3cfOd4CMv2snFaKAnMdnvK</v>
      </c>
    </row>
    <row r="19" spans="1:1" ht="13.5" x14ac:dyDescent="0.25">
      <c r="A19" s="53" t="str">
        <f>IF((Contemporary!D19&lt;&gt;""),(CONCATENATE(Contemporary!D19,",",Contemporary!E19,",",Contemporary!G19,",",Contemporary!H19,",",Contemporary!P19,",",Contemporary!Q19,",",Contemporary!R19,",",Contemporary!T19,",",Contemporary!W19,",",Contemporary!B19,",",SUBSTITUTE(B19,",","%2c"),",",IF(Contemporary!K19&lt;&gt;"",Contemporary!K19,CONCATENATE(Contemporary!H19,";",Contemporary!I19)),",",Spotify!A19)),"")</f>
        <v>Angel Of The Morning,Juice Newton,1981,Country,76,31,45,34,68,WIP,,;love;slow;oldies;retro,11y8GSP2ASv8S9n0FiiDva</v>
      </c>
    </row>
    <row r="20" spans="1:1" ht="13.5" x14ac:dyDescent="0.25">
      <c r="A20" s="53" t="str">
        <f>IF((Contemporary!D20&lt;&gt;""),(CONCATENATE(Contemporary!D20,",",Contemporary!E20,",",Contemporary!G20,",",Contemporary!H20,",",Contemporary!P20,",",Contemporary!Q20,",",Contemporary!R20,",",Contemporary!T20,",",Contemporary!W20,",",Contemporary!B20,",",SUBSTITUTE(B20,",","%2c"),",",IF(Contemporary!K20&lt;&gt;"",Contemporary!K20,CONCATENATE(Contemporary!H20,";",Contemporary!I20)),",",Spotify!A20)),"")</f>
        <v>Angels,Robbie Williams,1997,Rock,150,59,43,26,65,,,;love;slow,7CKbqqrs0AS1si1ZgaQdcj</v>
      </c>
    </row>
    <row r="21" spans="1:1" ht="13.5" x14ac:dyDescent="0.25">
      <c r="A21" s="53" t="str">
        <f>IF((Contemporary!D21&lt;&gt;""),(CONCATENATE(Contemporary!D21,",",Contemporary!E21,",",Contemporary!G21,",",Contemporary!H21,",",Contemporary!P21,",",Contemporary!Q21,",",Contemporary!R21,",",Contemporary!T21,",",Contemporary!W21,",",Contemporary!B21,",",SUBSTITUTE(B21,",","%2c"),",",IF(Contemporary!K21&lt;&gt;"",Contemporary!K21,CONCATENATE(Contemporary!H21,";",Contemporary!I21)),",",Spotify!A21)),"")</f>
        <v>Annie's Song,John Denver,1974,Rock,146,31,30,46,71,,,folk;love;slow;oldies;retro;waltz,4J0DbyODwZJcmIAiTSJfMF</v>
      </c>
    </row>
    <row r="22" spans="1:1" ht="13.5" x14ac:dyDescent="0.25">
      <c r="A22" s="53" t="str">
        <f>IF((Contemporary!D22&lt;&gt;""),(CONCATENATE(Contemporary!D22,",",Contemporary!E22,",",Contemporary!G22,",",Contemporary!H22,",",Contemporary!P22,",",Contemporary!Q22,",",Contemporary!R22,",",Contemporary!T22,",",Contemporary!W22,",",Contemporary!B22,",",SUBSTITUTE(B22,",","%2c"),",",IF(Contemporary!K22&lt;&gt;"",Contemporary!K22,CONCATENATE(Contemporary!H22,";",Contemporary!I22)),",",Spotify!A22)),"")</f>
        <v>Another Day In Paradise,Phil Collins,1989,Rock,102,57,78,37,84,,,soft rock;alternative;groovy,1NCuYqMc8hKMb4cpNTcJbD</v>
      </c>
    </row>
    <row r="23" spans="1:1" ht="13.5" x14ac:dyDescent="0.25">
      <c r="A23" s="53" t="str">
        <f>IF((Contemporary!D23&lt;&gt;""),(CONCATENATE(Contemporary!D23,",",Contemporary!E23,",",Contemporary!G23,",",Contemporary!H23,",",Contemporary!P23,",",Contemporary!Q23,",",Contemporary!R23,",",Contemporary!T23,",",Contemporary!W23,",",Contemporary!B23,",",SUBSTITUTE(B23,",","%2c"),",",IF(Contemporary!K23&lt;&gt;"",Contemporary!K23,CONCATENATE(Contemporary!H23,";",Contemporary!I23)),",",Spotify!A23)),"")</f>
        <v>Answer Me My Love,Inger Marie,2011,Jazz,89,8,63,37,18,WIP,,vocal jazz;smooth jazz;jazz pop;,3NKzaAQXoHXhXqMHN9IsRb</v>
      </c>
    </row>
    <row r="24" spans="1:1" ht="13.5" x14ac:dyDescent="0.25">
      <c r="A24" s="53" t="str">
        <f>IF((Contemporary!D24&lt;&gt;""),(CONCATENATE(Contemporary!D24,",",Contemporary!E24,",",Contemporary!G24,",",Contemporary!H24,",",Contemporary!P24,",",Contemporary!Q24,",",Contemporary!R24,",",Contemporary!T24,",",Contemporary!W24,",",Contemporary!B24,",",SUBSTITUTE(B24,",","%2c"),",",IF(Contemporary!K24&lt;&gt;"",Contemporary!K24,CONCATENATE(Contemporary!H24,";",Contemporary!I24)),",",Spotify!A24)),"")</f>
        <v>Antonio's Song,Till Brönner,1977,Jazz,114,39,68,65,27,WIP,,smooth jazz;jazz;groovy;jazz;slow;oldies;retro,51FAWuc1iPdM06S65Plx11</v>
      </c>
    </row>
    <row r="25" spans="1:1" ht="13.5" x14ac:dyDescent="0.25">
      <c r="A25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25,",","%2c"),",",IF(Contemporary!#REF!&lt;&gt;"",Contemporary!#REF!,CONCATENATE(Contemporary!#REF!,";",Contemporary!#REF!)),",",Spotify!#REF!)),"")</f>
        <v>#REF!</v>
      </c>
    </row>
    <row r="26" spans="1:1" ht="13.5" x14ac:dyDescent="0.25">
      <c r="A26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26,",","%2c"),",",IF(Contemporary!#REF!&lt;&gt;"",Contemporary!#REF!,CONCATENATE(Contemporary!#REF!,";",Contemporary!#REF!)),",",Spotify!A25)),"")</f>
        <v>#REF!</v>
      </c>
    </row>
    <row r="27" spans="1:1" ht="13.5" x14ac:dyDescent="0.25">
      <c r="A27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27,",","%2c"),",",IF(Contemporary!#REF!&lt;&gt;"",Contemporary!#REF!,CONCATENATE(Contemporary!#REF!,";",Contemporary!#REF!)),",",Spotify!A26)),"")</f>
        <v>#REF!</v>
      </c>
    </row>
    <row r="28" spans="1:1" ht="13.5" x14ac:dyDescent="0.25">
      <c r="A28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28,",","%2c"),",",IF(Contemporary!#REF!&lt;&gt;"",Contemporary!#REF!,CONCATENATE(Contemporary!#REF!,";",Contemporary!#REF!)),",",Spotify!A27)),"")</f>
        <v>#REF!</v>
      </c>
    </row>
    <row r="29" spans="1:1" ht="13.5" x14ac:dyDescent="0.25">
      <c r="A29" s="53" t="str">
        <f>IF((Contemporary!D25&lt;&gt;""),(CONCATENATE(Contemporary!D25,",",Contemporary!E25,",",Contemporary!G25,",",Contemporary!H25,",",Contemporary!P25,",",Contemporary!Q25,",",Contemporary!R25,",",Contemporary!T25,",",Contemporary!W25,",",Contemporary!B25,",",SUBSTITUTE(B29,",","%2c"),",",IF(Contemporary!K25&lt;&gt;"",Contemporary!K25,CONCATENATE(Contemporary!H25,";",Contemporary!I25)),",",Spotify!A28)),"")</f>
        <v>Ave Maria,Beyonce,2008,Pop,125,78,78,67,88,WIP,,;love;groovy,0pqnGHJpmpxLKifKRmU6WP</v>
      </c>
    </row>
    <row r="30" spans="1:1" ht="13.5" x14ac:dyDescent="0.25">
      <c r="A30" s="53" t="str">
        <f>IF((Contemporary!D26&lt;&gt;""),(CONCATENATE(Contemporary!D26,",",Contemporary!E26,",",Contemporary!G26,",",Contemporary!H26,",",Contemporary!P26,",",Contemporary!Q26,",",Contemporary!R26,",",Contemporary!T26,",",Contemporary!W26,",",Contemporary!B26,",",SUBSTITUTE(B30,",","%2c"),",",IF(Contemporary!K26&lt;&gt;"",Contemporary!K26,CONCATENATE(Contemporary!H26,";",Contemporary!I26)),",",Spotify!A29)),"")</f>
        <v>Baby One More Time,Britney Spears,1998,Pop,95,50,52,38,65,WIP,,classical crossover;opera;love;groovy;dance,5WHnE8MsLFHqSUwecrs7WO</v>
      </c>
    </row>
    <row r="31" spans="1:1" ht="13.5" x14ac:dyDescent="0.25">
      <c r="A31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31,",","%2c"),",",IF(Contemporary!#REF!&lt;&gt;"",Contemporary!#REF!,CONCATENATE(Contemporary!#REF!,";",Contemporary!#REF!)),",",Spotify!A30)),"")</f>
        <v>#REF!</v>
      </c>
    </row>
    <row r="32" spans="1:1" ht="13.5" x14ac:dyDescent="0.25">
      <c r="A32" s="53" t="e">
        <f>IF((Contemporary!D27&lt;&gt;""),(CONCATENATE(Contemporary!D27,",",Contemporary!E27,",",Contemporary!G27,",",Contemporary!H27,",",Contemporary!P27,",",Contemporary!Q27,",",Contemporary!R27,",",Contemporary!T27,",",Contemporary!W27,",",Contemporary!B27,",",SUBSTITUTE(B32,",","%2c"),",",IF(Contemporary!K27&lt;&gt;"",Contemporary!K27,CONCATENATE(Contemporary!H27,";",Contemporary!I27)),",",Spotify!#REF!)),"")</f>
        <v>#REF!</v>
      </c>
    </row>
    <row r="33" spans="1:1" ht="13.5" x14ac:dyDescent="0.25">
      <c r="A33" s="53" t="str">
        <f>IF((Contemporary!D28&lt;&gt;""),(CONCATENATE(Contemporary!D28,",",Contemporary!E28,",",Contemporary!G28,",",Contemporary!H28,",",Contemporary!P28,",",Contemporary!Q28,",",Contemporary!R28,",",Contemporary!T28,",",Contemporary!W28,",",Contemporary!B28,",",SUBSTITUTE(B33,",","%2c"),",",IF(Contemporary!K28&lt;&gt;"",Contemporary!K28,CONCATENATE(Contemporary!H28,";",Contemporary!I28)),",",Spotify!A31)),"")</f>
        <v>Believer,Imagine Dragons,2017,Rock,86,47,61,97,46,,,folk;folk rock;singer-songwriter;alternative,1wfzOH54LylpiG8hAOjKcS</v>
      </c>
    </row>
    <row r="34" spans="1:1" ht="13.5" x14ac:dyDescent="0.25">
      <c r="A34" s="53" t="str">
        <f>IF((Contemporary!D29&lt;&gt;""),(CONCATENATE(Contemporary!D29,",",Contemporary!E29,",",Contemporary!G29,",",Contemporary!H29,",",Contemporary!P29,",",Contemporary!Q29,",",Contemporary!R29,",",Contemporary!T29,",",Contemporary!W29,",",Contemporary!B29,",",SUBSTITUTE(B34,",","%2c"),",",IF(Contemporary!K29&lt;&gt;"",Contemporary!K29,CONCATENATE(Contemporary!H29,";",Contemporary!I29)),",",Spotify!A32)),"")</f>
        <v>Besame Mucho,Andrea Bocelli,1940,Latin,117,65,92,85,82,,,;love;slow;jazz;bossa;oldies;retro,5ChkMS8OtdzJeqyybCc9R5</v>
      </c>
    </row>
    <row r="35" spans="1:1" ht="13.5" x14ac:dyDescent="0.25">
      <c r="A35" s="53" t="str">
        <f>IF((Contemporary!D30&lt;&gt;""),(CONCATENATE(Contemporary!D30,",",Contemporary!E30,",",Contemporary!G30,",",Contemporary!H30,",",Contemporary!P30,",",Contemporary!Q30,",",Contemporary!R30,",",Contemporary!T30,",",Contemporary!W30,",",Contemporary!B30,",",SUBSTITUTE(B35,",","%2c"),",",IF(Contemporary!K30&lt;&gt;"",Contemporary!K30,CONCATENATE(Contemporary!H30,";",Contemporary!I30)),",",Spotify!A33)),"")</f>
        <v>Better When I'm Dancing,Meghan Trainor,2015,Pop,99,37,76,86,52,WIP,,french jazz;dance;fast,08T5wMbEnPN8ghT8o24KY6</v>
      </c>
    </row>
    <row r="36" spans="1:1" ht="13.5" x14ac:dyDescent="0.25">
      <c r="A36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36,",","%2c"),",",IF(Contemporary!#REF!&lt;&gt;"",Contemporary!#REF!,CONCATENATE(Contemporary!#REF!,";",Contemporary!#REF!)),",",Spotify!A34)),"")</f>
        <v>#REF!</v>
      </c>
    </row>
    <row r="37" spans="1:1" ht="13.5" x14ac:dyDescent="0.25">
      <c r="A37" s="53" t="str">
        <f>IF((Contemporary!D31&lt;&gt;""),(CONCATENATE(Contemporary!D31,",",Contemporary!E31,",",Contemporary!G31,",",Contemporary!H31,",",Contemporary!P31,",",Contemporary!Q31,",",Contemporary!R31,",",Contemporary!T31,",",Contemporary!W31,",",Contemporary!B31,",",SUBSTITUTE(B37,",","%2c"),",",IF(Contemporary!K31&lt;&gt;"",Contemporary!K31,CONCATENATE(Contemporary!H31,";",Contemporary!I31)),",",Spotify!A35)),"")</f>
        <v>Big Yellow Taxi,Joni Mitchell,1970,Rock,115,93,76,96,68,WIP,,;pop;acoustic;alternative;retro;oldies,6wdviVWctiZnY6tVn6bh6A</v>
      </c>
    </row>
    <row r="38" spans="1:1" ht="13.5" x14ac:dyDescent="0.25">
      <c r="A38" s="53" t="str">
        <f>IF((Contemporary!D32&lt;&gt;""),(CONCATENATE(Contemporary!D32,",",Contemporary!E32,",",Contemporary!G32,",",Contemporary!H32,",",Contemporary!P32,",",Contemporary!Q32,",",Contemporary!R32,",",Contemporary!T32,",",Contemporary!W32,",",Contemporary!B32,",",SUBSTITUTE(B38,",","%2c"),",",IF(Contemporary!K32&lt;&gt;"",Contemporary!K32,CONCATENATE(Contemporary!H32,";",Contemporary!I32)),",",Spotify!A36)),"")</f>
        <v>Billie Jean,Michael Jackson,1982,Pop,94,13,69,37,80,,,classic rock;psychedelic rock;,5jgFfDIR6FR0gvlA56Nakr</v>
      </c>
    </row>
    <row r="39" spans="1:1" ht="13.5" x14ac:dyDescent="0.25">
      <c r="A39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39,",","%2c"),",",IF(Contemporary!#REF!&lt;&gt;"",Contemporary!#REF!,CONCATENATE(Contemporary!#REF!,";",Contemporary!#REF!)),",",Spotify!A37)),"")</f>
        <v>#REF!</v>
      </c>
    </row>
    <row r="40" spans="1:1" ht="13.5" x14ac:dyDescent="0.25">
      <c r="A40" s="53" t="str">
        <f>IF((Contemporary!D33&lt;&gt;""),(CONCATENATE(Contemporary!D33,",",Contemporary!E33,",",Contemporary!G33,",",Contemporary!H33,",",Contemporary!P33,",",Contemporary!Q33,",",Contemporary!R33,",",Contemporary!T33,",",Contemporary!W33,",",Contemporary!B33,",",SUBSTITUTE(B40,",","%2c"),",",IF(Contemporary!K33&lt;&gt;"",Contemporary!K33,CONCATENATE(Contemporary!H33,";",Contemporary!I33)),",",Spotify!A38)),"")</f>
        <v>Bistro Fada,Stephane Wrembel,2011,Jazz,155,8,38,56,60,WIP,,folk;folk rock;instrumental;waltz,62Yu8QL1g9pdbvN4XL9Rah</v>
      </c>
    </row>
    <row r="41" spans="1:1" ht="13.5" x14ac:dyDescent="0.25">
      <c r="A41" s="53" t="str">
        <f>IF((Contemporary!D34&lt;&gt;""),(CONCATENATE(Contemporary!D34,",",Contemporary!E34,",",Contemporary!G34,",",Contemporary!H34,",",Contemporary!P34,",",Contemporary!Q34,",",Contemporary!R34,",",Contemporary!T34,",",Contemporary!W34,",",Contemporary!B34,",",SUBSTITUTE(B41,",","%2c"),",",IF(Contemporary!K34&lt;&gt;"",Contemporary!K34,CONCATENATE(Contemporary!H34,";",Contemporary!I34)),",",Spotify!A39)),"")</f>
        <v>Bitter Sweet Symphony,Verve,1997,Rock,125,63,72,83,78,,,yacht rock;alternative,2BY7ALEWdloFHgQZG6VMLA</v>
      </c>
    </row>
    <row r="42" spans="1:1" ht="13.5" x14ac:dyDescent="0.25">
      <c r="A42" s="53" t="str">
        <f>IF((Contemporary!D35&lt;&gt;""),(CONCATENATE(Contemporary!D35,",",Contemporary!E35,",",Contemporary!G35,",",Contemporary!H35,",",Contemporary!P35,",",Contemporary!Q35,",",Contemporary!R35,",",Contemporary!T35,",",Contemporary!W35,",",Contemporary!B35,",",SUBSTITUTE(B42,",","%2c"),",",IF(Contemporary!K35&lt;&gt;"",Contemporary!K35,CONCATENATE(Contemporary!H35,";",Contemporary!I35)),",",Spotify!A40)),"")</f>
        <v>Black Or White,Michael Jackson,1991,Pop,105,52,49,92,33,WIP,,samba;seresta;classical;chamber music;brazilian jazz;bossa nova;latin jazz;afro-cuban jazz;big band;jazz;,6MTrtNdft6F4t64fEzhNNA</v>
      </c>
    </row>
    <row r="43" spans="1:1" ht="13.5" x14ac:dyDescent="0.25">
      <c r="A43" s="53" t="str">
        <f>IF((Contemporary!D36&lt;&gt;""),(CONCATENATE(Contemporary!D36,",",Contemporary!E36,",",Contemporary!G36,",",Contemporary!H36,",",Contemporary!P36,",",Contemporary!Q36,",",Contemporary!R36,",",Contemporary!T36,",",Contemporary!W36,",",Contemporary!B36,",",SUBSTITUTE(B43,",","%2c"),",",IF(Contemporary!K36&lt;&gt;"",Contemporary!K36,CONCATENATE(Contemporary!H36,";",Contemporary!I36)),",",Spotify!A41)),"")</f>
        <v>Blackbird,Beatles,1968,Folk,110,83,62,54,73,WIP,,;oldies;retro;acoustic;alternative;folk,1uzWOoJdADfstQuFtQFTUn</v>
      </c>
    </row>
    <row r="44" spans="1:1" ht="13.5" x14ac:dyDescent="0.25">
      <c r="A44" s="53" t="str">
        <f>IF((Contemporary!D37&lt;&gt;""),(CONCATENATE(Contemporary!D37,",",Contemporary!E37,",",Contemporary!G37,",",Contemporary!H37,",",Contemporary!P37,",",Contemporary!Q37,",",Contemporary!R37,",",Contemporary!T37,",",Contemporary!W37,",",Contemporary!B37,",",SUBSTITUTE(B44,",","%2c"),",",IF(Contemporary!K37&lt;&gt;"",Contemporary!K37,CONCATENATE(Contemporary!H37,";",Contemporary!I37)),",",Spotify!A42)),"")</f>
        <v>Blinding Lights,Weeknd,2019,RnB,170,45,39,29,66,,,;groovy;dance;fast;love,5auMzVHFr5Zfw6IbKarZ56</v>
      </c>
    </row>
    <row r="45" spans="1:1" ht="13.5" x14ac:dyDescent="0.25">
      <c r="A45" s="53" t="str">
        <f>IF((Contemporary!D38&lt;&gt;""),(CONCATENATE(Contemporary!D38,",",Contemporary!E38,",",Contemporary!G38,",",Contemporary!H38,",",Contemporary!P38,",",Contemporary!Q38,",",Contemporary!R38,",",Contemporary!T38,",",Contemporary!W38,",",Contemporary!B38,",",SUBSTITUTE(B45,",","%2c"),",",IF(Contemporary!K38&lt;&gt;"",Contemporary!K38,CONCATENATE(Contemporary!H38,";",Contemporary!I38)),",",Spotify!A43)),"")</f>
        <v>Blowin' In The Wind,Peter Paul and Mary,1962,Folk,151,58,49,91,19,,,;acoustic;oldies;retro;folk,3yrSvpt2l1xhsV9Em88Pul</v>
      </c>
    </row>
    <row r="46" spans="1:1" ht="13.5" x14ac:dyDescent="0.25">
      <c r="A46" s="53" t="str">
        <f>IF((Contemporary!D39&lt;&gt;""),(CONCATENATE(Contemporary!D39,",",Contemporary!E39,",",Contemporary!G39,",",Contemporary!H39,",",Contemporary!P39,",",Contemporary!Q39,",",Contemporary!R39,",",Contemporary!T39,",",Contemporary!W39,",",Contemporary!B39,",",SUBSTITUTE(B46,",","%2c"),",",IF(Contemporary!K39&lt;&gt;"",Contemporary!K39,CONCATENATE(Contemporary!H39,";",Contemporary!I39)),",",Spotify!A44)),"")</f>
        <v>Brandy,Looking Glass,1972,Rock,128,46,72,39,83,,,;groovy;dance;fast;oldies;retro,2ixsaeFioXJmMgkkbd4uj1</v>
      </c>
    </row>
    <row r="47" spans="1:1" ht="13.5" x14ac:dyDescent="0.25">
      <c r="A47" s="53" t="str">
        <f>IF((Contemporary!D40&lt;&gt;""),(CONCATENATE(Contemporary!D40,",",Contemporary!E40,",",Contemporary!G40,",",Contemporary!H40,",",Contemporary!P40,",",Contemporary!Q40,",",Contemporary!R40,",",Contemporary!T40,",",Contemporary!W40,",",Contemporary!B40,",",SUBSTITUTE(B47,",","%2c"),",",IF(Contemporary!K40&lt;&gt;"",Contemporary!K40,CONCATENATE(Contemporary!H40,";",Contemporary!I40)),",",Spotify!A45)),"")</f>
        <v>Brasileirinho,Waldir Azavedo,1947,Choro,108,66,72,80,46,WIP,,soft pop;acoustic pop;instrumental,7rrmHHc1kY9vkIZnXrcH7T</v>
      </c>
    </row>
    <row r="48" spans="1:1" ht="13.5" x14ac:dyDescent="0.25">
      <c r="A48" s="53" t="str">
        <f>IF((Contemporary!D41&lt;&gt;""),(CONCATENATE(Contemporary!D41,",",Contemporary!E41,",",Contemporary!G41,",",Contemporary!H41,",",Contemporary!P41,",",Contemporary!Q41,",",Contemporary!R41,",",Contemporary!T41,",",Contemporary!W41,",",Contemporary!B41,",",SUBSTITUTE(B48,",","%2c"),",",IF(Contemporary!K41&lt;&gt;"",Contemporary!K41,CONCATENATE(Contemporary!H41,";",Contemporary!I41)),",",Spotify!A46)),"")</f>
        <v>Breakfast At Tiffany's,Deep Blue Something,1995,Rock,170,52,55,89,54,WIP,,doo-wop;love,6oRHRkQigTzJ3KwpO3XOV6</v>
      </c>
    </row>
    <row r="49" spans="1:1" ht="13.5" x14ac:dyDescent="0.25">
      <c r="A49" s="53" t="str">
        <f>IF((Contemporary!D42&lt;&gt;""),(CONCATENATE(Contemporary!D42,",",Contemporary!E42,",",Contemporary!G42,",",Contemporary!H42,",",Contemporary!P42,",",Contemporary!Q42,",",Contemporary!R42,",",Contemporary!T42,",",Contemporary!W42,",",Contemporary!B42,",",SUBSTITUTE(B49,",","%2c"),",",IF(Contemporary!K42&lt;&gt;"",Contemporary!K42,CONCATENATE(Contemporary!H42,";",Contemporary!I42)),",",Spotify!A47)),"")</f>
        <v>Breathe (2 AM),Anna Nalick,2004,Folk,123,65,70,86,57,WIP,,doo-wop;adult standards;,7Gpx2fNJiilvrf9Ss8qbit</v>
      </c>
    </row>
    <row r="50" spans="1:1" ht="13.5" x14ac:dyDescent="0.25">
      <c r="A50" s="53" t="str">
        <f>IF((Contemporary!D43&lt;&gt;""),(CONCATENATE(Contemporary!D43,",",Contemporary!E43,",",Contemporary!G43,",",Contemporary!H43,",",Contemporary!P43,",",Contemporary!Q43,",",Contemporary!R43,",",Contemporary!T43,",",Contemporary!W43,",",Contemporary!B43,",",SUBSTITUTE(B50,",","%2c"),",",IF(Contemporary!K43&lt;&gt;"",Contemporary!K43,CONCATENATE(Contemporary!H43,";",Contemporary!I43)),",",Spotify!A48)),"")</f>
        <v>Brown Eyed Girl,Van Morrison,1967,Rock,96,77,59,33,88,,,funk rock;alternative rock;rock;love;dance;fast;oldies;retro,48UPSzbZjgc449aqz8bxox</v>
      </c>
    </row>
    <row r="51" spans="1:1" ht="13.5" x14ac:dyDescent="0.25">
      <c r="A51" s="53" t="str">
        <f>IF((Contemporary!D44&lt;&gt;""),(CONCATENATE(Contemporary!D44,",",Contemporary!E44,",",Contemporary!G44,",",Contemporary!H44,",",Contemporary!P44,",",Contemporary!Q44,",",Contemporary!R44,",",Contemporary!T44,",",Contemporary!W44,",",Contemporary!B44,",",SUBSTITUTE(B51,",","%2c"),",",IF(Contemporary!K44&lt;&gt;"",Contemporary!K44,CONCATENATE(Contemporary!H44,";",Contemporary!I44)),",",Spotify!A49)),"")</f>
        <v>Budapest,George Ezra,2013,Rock,100,29,40,34,83,,,rockabilly;rock and roll;love;dance,44AyOl4qVkzS48vBsbNXaC</v>
      </c>
    </row>
    <row r="52" spans="1:1" ht="13.5" x14ac:dyDescent="0.25">
      <c r="A52" s="53" t="str">
        <f>IF((Contemporary!D45&lt;&gt;""),(CONCATENATE(Contemporary!D45,",",Contemporary!E45,",",Contemporary!G45,",",Contemporary!H45,",",Contemporary!P45,",",Contemporary!Q45,",",Contemporary!R45,",",Contemporary!T45,",",Contemporary!W45,",",Contemporary!B45,",",SUBSTITUTE(B52,",","%2c"),",",IF(Contemporary!K45&lt;&gt;"",Contemporary!K45,CONCATENATE(Contemporary!H45,";",Contemporary!I45)),",",Spotify!A50)),"")</f>
        <v>Butterfly,Jason Mraz,2008,Pop,98,52,42,48,65,WIP,,yacht rock;adult standards;love;dance;fast,7qUTZEf6bgiApJEXpMAH5y</v>
      </c>
    </row>
    <row r="53" spans="1:1" ht="13.5" x14ac:dyDescent="0.25">
      <c r="A53" s="53" t="str">
        <f>IF((Contemporary!D46&lt;&gt;""),(CONCATENATE(Contemporary!D46,",",Contemporary!E46,",",Contemporary!G46,",",Contemporary!H46,",",Contemporary!P46,",",Contemporary!Q46,",",Contemporary!R46,",",Contemporary!T46,",",Contemporary!W46,",",Contemporary!B46,",",SUBSTITUTE(B53,",","%2c"),",",IF(Contemporary!K46&lt;&gt;"",Contemporary!K46,CONCATENATE(Contemporary!H46,";",Contemporary!I46)),",",Spotify!A51)),"")</f>
        <v>Bye Bye Love,Everly Brothers,1957,Country,153,63,57,80,8,WIP,,;oldies;retro;love,4jDmJ51x1o9NZB5Nxxc7gY</v>
      </c>
    </row>
    <row r="54" spans="1:1" ht="13.5" x14ac:dyDescent="0.25">
      <c r="A54" s="53" t="str">
        <f>IF((Contemporary!D47&lt;&gt;""),(CONCATENATE(Contemporary!D47,",",Contemporary!E47,",",Contemporary!G47,",",Contemporary!H47,",",Contemporary!P47,",",Contemporary!Q47,",",Contemporary!R47,",",Contemporary!T47,",",Contemporary!W47,",",Contemporary!B47,",",SUBSTITUTE(B54,",","%2c"),",",IF(Contemporary!K47&lt;&gt;"",Contemporary!K47,CONCATENATE(Contemporary!H47,";",Contemporary!I47)),",",Spotify!A52)),"")</f>
        <v>Calendar Girl,Neil Sedaka,1959,Pop,83,55,34,21,65,WIP,,;oldies;retro;love;sweet,1zVBU0PAj7ZUVmVfG2pgQG</v>
      </c>
    </row>
    <row r="55" spans="1:1" ht="13.5" x14ac:dyDescent="0.25">
      <c r="A55" s="53" t="str">
        <f>IF((Contemporary!D48&lt;&gt;""),(CONCATENATE(Contemporary!D48,",",Contemporary!E48,",",Contemporary!G48,",",Contemporary!H48,",",Contemporary!P48,",",Contemporary!Q48,",",Contemporary!R48,",",Contemporary!T48,",",Contemporary!W48,",",Contemporary!B48,",",SUBSTITUTE(B55,",","%2c"),",",IF(Contemporary!K48&lt;&gt;"",Contemporary!K48,CONCATENATE(Contemporary!H48,";",Contemporary!I48)),",",Spotify!A53)),"")</f>
        <v>Californication,Red Hot Chili Peppers,1999,Alternative,87,45,62,61,52,,,;groovy,29MwtMspIroR2wFYEJ7ps0</v>
      </c>
    </row>
    <row r="56" spans="1:1" ht="13.5" x14ac:dyDescent="0.25">
      <c r="A56" s="53" t="str">
        <f>IF((Contemporary!D49&lt;&gt;""),(CONCATENATE(Contemporary!D49,",",Contemporary!E49,",",Contemporary!G49,",",Contemporary!H49,",",Contemporary!P49,",",Contemporary!Q49,",",Contemporary!R49,",",Contemporary!T49,",",Contemporary!W49,",",Contemporary!B49,",",SUBSTITUTE(B56,",","%2c"),",",IF(Contemporary!K49&lt;&gt;"",Contemporary!K49,CONCATENATE(Contemporary!H49,";",Contemporary!I49)),",",Spotify!A54)),"")</f>
        <v>Can't Help Falling In Love,Elvis Presley,1961,Rock,95,80,56,47,73,,,pop;reggae;love;slow;oldies;retro;waltz,7qvxFz3JodM0A7xEM7k3YD</v>
      </c>
    </row>
    <row r="57" spans="1:1" ht="13.5" x14ac:dyDescent="0.25">
      <c r="A57" s="53" t="str">
        <f>IF((Contemporary!D50&lt;&gt;""),(CONCATENATE(Contemporary!D50,",",Contemporary!E50,",",Contemporary!G50,",",Contemporary!H50,",",Contemporary!P50,",",Contemporary!Q50,",",Contemporary!R50,",",Contemporary!T50,",",Contemporary!W50,",",Contemporary!B50,",",SUBSTITUTE(B57,",","%2c"),",",IF(Contemporary!K50&lt;&gt;"",Contemporary!K50,CONCATENATE(Contemporary!H50,";",Contemporary!I50)),",",Spotify!A55)),"")</f>
        <v>Can't Smile Without You,Barry Manilow,1978,Pop,90,70,63,73,72,WIP,,;oldies;retro;love;sweet,3S4px9f4lceWdKf0gWciFu</v>
      </c>
    </row>
    <row r="58" spans="1:1" ht="13.5" x14ac:dyDescent="0.25">
      <c r="A58" s="53" t="str">
        <f>IF((Contemporary!D51&lt;&gt;""),(CONCATENATE(Contemporary!D51,",",Contemporary!E51,",",Contemporary!G51,",",Contemporary!H51,",",Contemporary!P51,",",Contemporary!Q51,",",Contemporary!R51,",",Contemporary!T51,",",Contemporary!W51,",",Contemporary!B51,",",SUBSTITUTE(B58,",","%2c"),",",IF(Contemporary!K51&lt;&gt;"",Contemporary!K51,CONCATENATE(Contemporary!H51,";",Contemporary!I51)),",",Spotify!A56)),"")</f>
        <v>Careless Whisper,George Michael,1984,Pop,84,55,50,37,78,,,;oldies;retro,762B4bOcXF7I2Y8UlKTyTy</v>
      </c>
    </row>
    <row r="59" spans="1:1" ht="13.5" x14ac:dyDescent="0.25">
      <c r="A59" s="53" t="str">
        <f>IF((Contemporary!D52&lt;&gt;""),(CONCATENATE(Contemporary!D52,",",Contemporary!E52,",",Contemporary!G52,",",Contemporary!H52,",",Contemporary!P52,",",Contemporary!Q52,",",Contemporary!R52,",",Contemporary!T52,",",Contemporary!W52,",",Contemporary!B52,",",SUBSTITUTE(B59,",","%2c"),",",IF(Contemporary!K52&lt;&gt;"",Contemporary!K52,CONCATENATE(Contemporary!H52,";",Contemporary!I52)),",",Spotify!A57)),"")</f>
        <v>Carry You Home,James Blunt,2008,Rock,131,75,58,26,87,WIP,,;love;alternative,0BCPKOYdS2jbQ8iyB56Zns</v>
      </c>
    </row>
    <row r="60" spans="1:1" ht="13.5" x14ac:dyDescent="0.25">
      <c r="A60" s="53" t="str">
        <f>IF((Contemporary!D53&lt;&gt;""),(CONCATENATE(Contemporary!D53,",",Contemporary!E53,",",Contemporary!G53,",",Contemporary!H53,",",Contemporary!P53,",",Contemporary!Q53,",",Contemporary!R53,",",Contemporary!T53,",",Contemporary!W53,",",Contemporary!B53,",",SUBSTITUTE(B60,",","%2c"),",",IF(Contemporary!K53&lt;&gt;"",Contemporary!K53,CONCATENATE(Contemporary!H53,";",Contemporary!I53)),",",Spotify!A58)),"")</f>
        <v>Catch and Release,Matt Simons,2007,Pop,92,85,48,27,70,WIP,,;slow;love,1A5V1sxyCLpKJezp75tUXn</v>
      </c>
    </row>
    <row r="61" spans="1:1" ht="13.5" x14ac:dyDescent="0.25">
      <c r="A61" s="53" t="str">
        <f>IF((Contemporary!D54&lt;&gt;""),(CONCATENATE(Contemporary!D54,",",Contemporary!E54,",",Contemporary!G54,",",Contemporary!H54,",",Contemporary!P54,",",Contemporary!Q54,",",Contemporary!R54,",",Contemporary!T54,",",Contemporary!W54,",",Contemporary!B54,",",SUBSTITUTE(B61,",","%2c"),",",IF(Contemporary!K54&lt;&gt;"",Contemporary!K54,CONCATENATE(Contemporary!H54,";",Contemporary!I54)),",",Spotify!A59)),"")</f>
        <v>Chained To The Rhythm,Katy Perry,2017,Disco,110,72,59,62,53,WIP,,;groovy;dance;fast,1sdz3nsrkX4Yo42KLPrmYV</v>
      </c>
    </row>
    <row r="62" spans="1:1" ht="13.5" x14ac:dyDescent="0.25">
      <c r="A62" s="53" t="str">
        <f>IF((Contemporary!D55&lt;&gt;""),(CONCATENATE(Contemporary!D55,",",Contemporary!E55,",",Contemporary!G55,",",Contemporary!H55,",",Contemporary!P55,",",Contemporary!Q55,",",Contemporary!R55,",",Contemporary!T55,",",Contemporary!W55,",",Contemporary!B55,",",SUBSTITUTE(B62,",","%2c"),",",IF(Contemporary!K55&lt;&gt;"",Contemporary!K55,CONCATENATE(Contemporary!H55,";",Contemporary!I55)),",",Spotify!A60)),"")</f>
        <v>Cheap Thrills,Sia,2016,Pop,108,67,76,80,50,,,yacht rock;adult standards;groovy;dance;fast,3hWOGUIOcqKDoVpFBLp9Qc</v>
      </c>
    </row>
    <row r="63" spans="1:1" ht="13.5" x14ac:dyDescent="0.25">
      <c r="A63" s="53" t="str">
        <f>IF((Contemporary!D56&lt;&gt;""),(CONCATENATE(Contemporary!D56,",",Contemporary!E56,",",Contemporary!G56,",",Contemporary!H56,",",Contemporary!P56,",",Contemporary!Q56,",",Contemporary!R56,",",Contemporary!T56,",",Contemporary!W56,",",Contemporary!B56,",",SUBSTITUTE(B63,",","%2c"),",",IF(Contemporary!K56&lt;&gt;"",Contemporary!K56,CONCATENATE(Contemporary!H56,";",Contemporary!I56)),",",Spotify!A61)),"")</f>
        <v>Chiquitita,ABBA,1979,Pop,89,39,59,50,81,WIP,,;oldies;retro;love,7l1qvxWjxcKpB9PCtBuTbU</v>
      </c>
    </row>
    <row r="64" spans="1:1" ht="13.5" x14ac:dyDescent="0.25">
      <c r="A64" s="53" t="str">
        <f>IF((Contemporary!D57&lt;&gt;""),(CONCATENATE(Contemporary!D57,",",Contemporary!E57,",",Contemporary!G57,",",Contemporary!H57,",",Contemporary!P57,",",Contemporary!Q57,",",Contemporary!R57,",",Contemporary!T57,",",Contemporary!W57,",",Contemporary!B57,",",SUBSTITUTE(B64,",","%2c"),",",IF(Contemporary!K57&lt;&gt;"",Contemporary!K57,CONCATENATE(Contemporary!H57,";",Contemporary!I57)),",",Spotify!A62)),"")</f>
        <v>Clocks,Coldplay,2002,Rock,122,71,66,47,74,,,soft pop;alternative,6sy3LkhNFjJWlaeSMNwQ62</v>
      </c>
    </row>
    <row r="65" spans="1:1" ht="13.5" x14ac:dyDescent="0.25">
      <c r="A65" s="53" t="str">
        <f>IF((Contemporary!D58&lt;&gt;""),(CONCATENATE(Contemporary!D58,",",Contemporary!E58,",",Contemporary!G58,",",Contemporary!H58,",",Contemporary!P58,",",Contemporary!Q58,",",Contemporary!R58,",",Contemporary!T58,",",Contemporary!W58,",",Contemporary!B58,",",SUBSTITUTE(B65,",","%2c"),",",IF(Contemporary!K58&lt;&gt;"",Contemporary!K58,CONCATENATE(Contemporary!H58,";",Contemporary!I58)),",",Spotify!A63)),"")</f>
        <v>Closing Time,Semisonic,1998,Rock,82,40,46,63,79,WIP,,folk;alternative,1YYhDizHx7PnDhAhko6cDS</v>
      </c>
    </row>
    <row r="66" spans="1:1" ht="13.5" x14ac:dyDescent="0.25">
      <c r="A66" s="53" t="str">
        <f>IF((Contemporary!D59&lt;&gt;""),(CONCATENATE(Contemporary!D59,",",Contemporary!E59,",",Contemporary!G59,",",Contemporary!H59,",",Contemporary!P59,",",Contemporary!Q59,",",Contemporary!R59,",",Contemporary!T59,",",Contemporary!W59,",",Contemporary!B59,",",SUBSTITUTE(B66,",","%2c"),",",IF(Contemporary!K59&lt;&gt;"",Contemporary!K59,CONCATENATE(Contemporary!H59,";",Contemporary!I59)),",",Spotify!A64)),"")</f>
        <v>Cloud Number Nine,Bryan Adams,1999,Pop,112,74,84,61,4,,,;love;dance;sweet;groovy,2N5zMZX7YeL1tico8oQxa9</v>
      </c>
    </row>
    <row r="67" spans="1:1" ht="13.5" x14ac:dyDescent="0.25">
      <c r="A67" s="53" t="str">
        <f>IF((Contemporary!D60&lt;&gt;""),(CONCATENATE(Contemporary!D60,",",Contemporary!E60,",",Contemporary!G60,",",Contemporary!H60,",",Contemporary!P60,",",Contemporary!Q60,",",Contemporary!R60,",",Contemporary!T60,",",Contemporary!W60,",",Contemporary!B60,",",SUBSTITUTE(B67,",","%2c"),",",IF(Contemporary!K60&lt;&gt;"",Contemporary!K60,CONCATENATE(Contemporary!H60,";",Contemporary!I60)),",",Spotify!A65)),"")</f>
        <v>Copacabana,Barry Manilow,1978,Disco,77,57,63,75,0,WIP,,classic rock;rock;glam rock;acoustic;love;dance;groovy;oldies;retro,2NpKgRCZfFb8fVmvk16iMx</v>
      </c>
    </row>
    <row r="68" spans="1:1" ht="13.5" x14ac:dyDescent="0.25">
      <c r="A68" s="53" t="str">
        <f>IF((Contemporary!D61&lt;&gt;""),(CONCATENATE(Contemporary!D61,",",Contemporary!E61,",",Contemporary!G61,",",Contemporary!H61,",",Contemporary!P61,",",Contemporary!Q61,",",Contemporary!R61,",",Contemporary!T61,",",Contemporary!W61,",",Contemporary!B61,",",SUBSTITUTE(B68,",","%2c"),",",IF(Contemporary!K61&lt;&gt;"",Contemporary!K61,CONCATENATE(Contemporary!H61,";",Contemporary!I61)),",",Spotify!A66)),"")</f>
        <v>Count On Me,Bruno Mars,2010,Pop,164,75,67,96,67,,,;groovy;acoustic;love;fast;sweet,1FSWSs9CL01RCYxXtm08Rf</v>
      </c>
    </row>
    <row r="69" spans="1:1" ht="13.5" x14ac:dyDescent="0.25">
      <c r="A69" s="53" t="str">
        <f>IF((Contemporary!D62&lt;&gt;""),(CONCATENATE(Contemporary!D62,",",Contemporary!E62,",",Contemporary!G62,",",Contemporary!H62,",",Contemporary!P62,",",Contemporary!Q62,",",Contemporary!R62,",",Contemporary!T62,",",Contemporary!W62,",",Contemporary!B62,",",SUBSTITUTE(B69,",","%2c"),",",IF(Contemporary!K62&lt;&gt;"",Contemporary!K62,CONCATENATE(Contemporary!H62,";",Contemporary!I62)),",",Spotify!A67)),"")</f>
        <v>Counting Stars,OneRepublic,2013,Pop,119,86,63,87,80,,,;,3Fzlg5r1IjhLk2qRw667od</v>
      </c>
    </row>
    <row r="70" spans="1:1" ht="13.5" x14ac:dyDescent="0.25">
      <c r="A70" s="53" t="str">
        <f>IF((Contemporary!D63&lt;&gt;""),(CONCATENATE(Contemporary!D63,",",Contemporary!E63,",",Contemporary!G63,",",Contemporary!H63,",",Contemporary!P63,",",Contemporary!Q63,",",Contemporary!R63,",",Contemporary!T63,",",Contemporary!W63,",",Contemporary!B63,",",SUBSTITUTE(B70,",","%2c"),",",IF(Contemporary!K63&lt;&gt;"",Contemporary!K63,CONCATENATE(Contemporary!H63,";",Contemporary!I63)),",",Spotify!A68)),"")</f>
        <v>Country Roads,John Denver,1971,Country,101,87,54,75,87,,,;oldies;retro;groovy,0GjEhVFGZW8afUYGChu3Rr</v>
      </c>
    </row>
    <row r="71" spans="1:1" ht="13.5" x14ac:dyDescent="0.25">
      <c r="A71" s="53" t="str">
        <f>IF((Contemporary!D64&lt;&gt;""),(CONCATENATE(Contemporary!D64,",",Contemporary!E64,",",Contemporary!G64,",",Contemporary!H64,",",Contemporary!P64,",",Contemporary!Q64,",",Contemporary!R64,",",Contemporary!T64,",",Contemporary!W64,",",Contemporary!B64,",",SUBSTITUTE(B71,",","%2c"),",",IF(Contemporary!K64&lt;&gt;"",Contemporary!K64,CONCATENATE(Contemporary!H64,";",Contemporary!I64)),",",Spotify!A69)),"")</f>
        <v>Crazy,Gnarles Barkley,2006,Soul,125,41,67,50,67,,,singer-songwriter;alternative;groovy,5FPnjikbwlDMULCCCa6ZCJ</v>
      </c>
    </row>
    <row r="72" spans="1:1" ht="13.5" x14ac:dyDescent="0.25">
      <c r="A72" s="53" t="str">
        <f>IF((Contemporary!D65&lt;&gt;""),(CONCATENATE(Contemporary!D65,",",Contemporary!E65,",",Contemporary!G65,",",Contemporary!H65,",",Contemporary!P65,",",Contemporary!Q65,",",Contemporary!R65,",",Contemporary!T65,",",Contemporary!W65,",",Contemporary!B65,",",SUBSTITUTE(B72,",","%2c"),",",IF(Contemporary!K65&lt;&gt;"",Contemporary!K65,CONCATENATE(Contemporary!H65,";",Contemporary!I65)),",",Spotify!A70)),"")</f>
        <v>Crazy Little Thing Called Love,Queen,1979,Rock,79,78,66,83,70,,,;groovy;dance;fast;oldies;retro,3cU2wBxuV6nFiuf6PJZNlC</v>
      </c>
    </row>
    <row r="73" spans="1:1" ht="13.5" x14ac:dyDescent="0.25">
      <c r="A73" s="53" t="e">
        <f>IF((Contemporary!D66&lt;&gt;""),(CONCATENATE(Contemporary!D66,",",Contemporary!E66,",",Contemporary!G66,",",Contemporary!H66,",",Contemporary!P66,",",Contemporary!Q66,",",Contemporary!R66,",",Contemporary!T66,",",Contemporary!W66,",",Contemporary!B66,",",SUBSTITUTE(B73,",","%2c"),",",IF(Contemporary!K66&lt;&gt;"",Contemporary!K66,CONCATENATE(Contemporary!H66,";",Contemporary!I66)),",",Spotify!#REF!)),"")</f>
        <v>#REF!</v>
      </c>
    </row>
    <row r="74" spans="1:1" ht="13.5" x14ac:dyDescent="0.25">
      <c r="A74" s="53" t="str">
        <f>IF((Contemporary!D67&lt;&gt;""),(CONCATENATE(Contemporary!D67,",",Contemporary!E67,",",Contemporary!G67,",",Contemporary!H67,",",Contemporary!P67,",",Contemporary!Q67,",",Contemporary!R67,",",Contemporary!T67,",",Contemporary!W67,",",Contemporary!B67,",",SUBSTITUTE(B74,",","%2c"),",",IF(Contemporary!K67&lt;&gt;"",Contemporary!K67,CONCATENATE(Contemporary!H67,";",Contemporary!I67)),",",Spotify!A71)),"")</f>
        <v>Dancing In The Moonlight,Toploader,1999,Pop,119,70,53,77,36,,,indie folk;folk;newgrass;americana;bluegrass;alt country;folk rock;groovy;dance,2HK5MzOuCmkJQlJYGCQpUU</v>
      </c>
    </row>
    <row r="75" spans="1:1" ht="13.5" x14ac:dyDescent="0.25">
      <c r="A75" s="53" t="str">
        <f>IF((Contemporary!D68&lt;&gt;""),(CONCATENATE(Contemporary!D68,",",Contemporary!E68,",",Contemporary!G68,",",Contemporary!H68,",",Contemporary!P68,",",Contemporary!Q68,",",Contemporary!R68,",",Contemporary!T68,",",Contemporary!W68,",",Contemporary!B68,",",SUBSTITUTE(B75,",","%2c"),",",IF(Contemporary!K68&lt;&gt;"",Contemporary!K68,CONCATENATE(Contemporary!H68,";",Contemporary!I68)),",",Spotify!A72)),"")</f>
        <v>Dancing Queen,ABBA,1976,Pop,136,87,73,98,69,,,;groovy;dance;jive;oldies;retro;fast,2HPB3px8MJZRMfu1L65Z41</v>
      </c>
    </row>
    <row r="76" spans="1:1" ht="13.5" x14ac:dyDescent="0.25">
      <c r="A76" s="53" t="str">
        <f>IF((Contemporary!D69&lt;&gt;""),(CONCATENATE(Contemporary!D69,",",Contemporary!E69,",",Contemporary!G69,",",Contemporary!H69,",",Contemporary!P69,",",Contemporary!Q69,",",Contemporary!R69,",",Contemporary!T69,",",Contemporary!W69,",",Contemporary!B69,",",SUBSTITUTE(B76,",","%2c"),",",IF(Contemporary!K69&lt;&gt;"",Contemporary!K69,CONCATENATE(Contemporary!H69,";",Contemporary!I69)),",",Spotify!A73)),"")</f>
        <v>Daughters,John Mayer,2004,Rock,85,32,74,34,61,WIP,,classic country;groovy;slow;alternative,7Jpclr7tZ6aQXjoKzWXUJV</v>
      </c>
    </row>
    <row r="77" spans="1:1" ht="13.5" x14ac:dyDescent="0.25">
      <c r="A77" s="53" t="str">
        <f>IF((Contemporary!D70&lt;&gt;""),(CONCATENATE(Contemporary!D70,",",Contemporary!E70,",",Contemporary!G70,",",Contemporary!H70,",",Contemporary!P70,",",Contemporary!Q70,",",Contemporary!R70,",",Contemporary!T70,",",Contemporary!W70,",",Contemporary!B70,",",SUBSTITUTE(B77,",","%2c"),",",IF(Contemporary!K70&lt;&gt;"",Contemporary!K70,CONCATENATE(Contemporary!H70,";",Contemporary!I70)),",",Spotify!A74)),"")</f>
        <v>Dear Future Husband,Meghan Trainor,2014,Pop,89,22,75,64,79,WIP,,jazz pop;dance;groovy;love;sweet,1zNXF2svmdlNxfS5XeNUgr</v>
      </c>
    </row>
    <row r="78" spans="1:1" ht="13.5" x14ac:dyDescent="0.25">
      <c r="A78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78,",","%2c"),",",IF(Contemporary!#REF!&lt;&gt;"",Contemporary!#REF!,CONCATENATE(Contemporary!#REF!,";",Contemporary!#REF!)),",",Spotify!#REF!)),"")</f>
        <v>#REF!</v>
      </c>
    </row>
    <row r="79" spans="1:1" ht="13.5" x14ac:dyDescent="0.25">
      <c r="A79" s="53" t="str">
        <f>IF((Contemporary!D71&lt;&gt;""),(CONCATENATE(Contemporary!D71,",",Contemporary!E71,",",Contemporary!G71,",",Contemporary!H71,",",Contemporary!P71,",",Contemporary!Q71,",",Contemporary!R71,",",Contemporary!T71,",",Contemporary!W71,",",Contemporary!B71,",",SUBSTITUTE(B79,",","%2c"),",",IF(Contemporary!K71&lt;&gt;"",Contemporary!K71,CONCATENATE(Contemporary!H71,";",Contemporary!I71)),",",Spotify!A75)),"")</f>
        <v>Die Die Die,Avett Brothers,2007,Folk,164,92,35,21,74,WIP,,britpop;madchester;alternative;groovy;acoustic,7ppPZa3TRUSGKaks9wH7VT</v>
      </c>
    </row>
    <row r="80" spans="1:1" ht="13.5" x14ac:dyDescent="0.25">
      <c r="A80" s="53" t="str">
        <f>IF((Contemporary!D72&lt;&gt;""),(CONCATENATE(Contemporary!D72,",",Contemporary!E72,",",Contemporary!G72,",",Contemporary!H72,",",Contemporary!P72,",",Contemporary!Q72,",",Contemporary!R72,",",Contemporary!T72,",",Contemporary!W72,",",Contemporary!B72,",",SUBSTITUTE(B80,",","%2c"),",",IF(Contemporary!K72&lt;&gt;"",Contemporary!K72,CONCATENATE(Contemporary!H72,";",Contemporary!I72)),",",Spotify!A76)),"")</f>
        <v>Does Your Mother Know,ABBA,1979,Pop,156,76,56,64,2,,,classic rock;rock;glam rock;dance;fast;love;groovy;oldies;retro,43DHLzDkncpby82Po5jlOZ</v>
      </c>
    </row>
    <row r="81" spans="1:1" ht="13.5" x14ac:dyDescent="0.25">
      <c r="A81" s="53" t="e">
        <f>IF((Contemporary!D73&lt;&gt;""),(CONCATENATE(Contemporary!D73,",",Contemporary!E73,",",Contemporary!G73,",",Contemporary!H73,",",Contemporary!P73,",",Contemporary!Q73,",",Contemporary!R73,",",Contemporary!T73,",",Contemporary!W73,",",Contemporary!B73,",",SUBSTITUTE(B81,",","%2c"),",",IF(Contemporary!K73&lt;&gt;"",Contemporary!K73,CONCATENATE(Contemporary!H73,";",Contemporary!I73)),",",Spotify!#REF!)),"")</f>
        <v>#REF!</v>
      </c>
    </row>
    <row r="82" spans="1:1" ht="13.5" x14ac:dyDescent="0.25">
      <c r="A82" s="53" t="str">
        <f>IF((Contemporary!D74&lt;&gt;""),(CONCATENATE(Contemporary!D74,",",Contemporary!E74,",",Contemporary!G74,",",Contemporary!H74,",",Contemporary!P74,",",Contemporary!Q74,",",Contemporary!R74,",",Contemporary!T74,",",Contemporary!W74,",",Contemporary!B74,",",SUBSTITUTE(B82,",","%2c"),",",IF(Contemporary!K74&lt;&gt;"",Contemporary!K74,CONCATENATE(Contemporary!H74,";",Contemporary!I74)),",",Spotify!A77)),"")</f>
        <v>Don't Know Why,Norah Jones,2002,Pop,146,14,39,27,37,,,bluegrass;newgrass;folk;americana;groovy;slow;love,5Y5mqKOWd1wzqSqBeYaeO9</v>
      </c>
    </row>
    <row r="83" spans="1:1" ht="13.5" x14ac:dyDescent="0.25">
      <c r="A83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83,",","%2c"),",",IF(Contemporary!#REF!&lt;&gt;"",Contemporary!#REF!,CONCATENATE(Contemporary!#REF!,";",Contemporary!#REF!)),",",Spotify!A78)),"")</f>
        <v>#REF!</v>
      </c>
    </row>
    <row r="84" spans="1:1" ht="13.5" x14ac:dyDescent="0.25">
      <c r="A84" s="53" t="str">
        <f>IF((Contemporary!D75&lt;&gt;""),(CONCATENATE(Contemporary!D75,",",Contemporary!E75,",",Contemporary!G75,",",Contemporary!H75,",",Contemporary!P75,",",Contemporary!Q75,",",Contemporary!R75,",",Contemporary!T75,",",Contemporary!W75,",",Contemporary!B75,",",SUBSTITUTE(B84,",","%2c"),",",IF(Contemporary!K75&lt;&gt;"",Contemporary!K75,CONCATENATE(Contemporary!H75,";",Contemporary!I75)),",",Spotify!A79)),"")</f>
        <v>Don't Look Back In Anger,Oasis,1995,Pop,120,49,83,79,92,,,yacht rock;classic rock;soft rock;groovy;slow;alternative;acoustic,0ofHAoxe9vBkTCp2UQIavz</v>
      </c>
    </row>
    <row r="85" spans="1:1" ht="13.5" x14ac:dyDescent="0.25">
      <c r="A85" s="53" t="str">
        <f>IF((Contemporary!D76&lt;&gt;""),(CONCATENATE(Contemporary!D76,",",Contemporary!E76,",",Contemporary!G76,",",Contemporary!H76,",",Contemporary!P76,",",Contemporary!Q76,",",Contemporary!R76,",",Contemporary!T76,",",Contemporary!W76,",",Contemporary!B76,",",SUBSTITUTE(B85,",","%2c"),",",IF(Contemporary!K76&lt;&gt;"",Contemporary!K76,CONCATENATE(Contemporary!H76,";",Contemporary!I76)),",",Spotify!A80)),"")</f>
        <v>Don't Stop Me Now,Queen,1979,Rock,91,79,65,67,82,,,nu metal;funk rock;alternative metal;alternative rock;dance;fast;love;groovy;oldies;retro,7nnWIPM5hwE3DaUBkvOIpy</v>
      </c>
    </row>
    <row r="86" spans="1:1" ht="13.5" x14ac:dyDescent="0.25">
      <c r="A86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86,",","%2c"),",",IF(Contemporary!#REF!&lt;&gt;"",Contemporary!#REF!,CONCATENATE(Contemporary!#REF!,";",Contemporary!#REF!)),",",Spotify!A81)),"")</f>
        <v>#REF!</v>
      </c>
    </row>
    <row r="87" spans="1:1" ht="13.5" x14ac:dyDescent="0.25">
      <c r="A87" s="53" t="str">
        <f>IF((Contemporary!D77&lt;&gt;""),(CONCATENATE(Contemporary!D77,",",Contemporary!E77,",",Contemporary!G77,",",Contemporary!H77,",",Contemporary!P77,",",Contemporary!Q77,",",Contemporary!R77,",",Contemporary!T77,",",Contemporary!W77,",",Contemporary!B77,",",SUBSTITUTE(B87,",","%2c"),",",IF(Contemporary!K77&lt;&gt;"",Contemporary!K77,CONCATENATE(Contemporary!H77,";",Contemporary!I77)),",",Spotify!A82)),"")</f>
        <v>Doubting Thomas,Nickel Creek,2005,Pop,187,65,23,31,0,WIP,,;,54JpZ7kVvW7VsMFj8FqY95</v>
      </c>
    </row>
    <row r="88" spans="1:1" ht="13.5" x14ac:dyDescent="0.25">
      <c r="A88" s="53" t="str">
        <f>IF((Contemporary!D78&lt;&gt;""),(CONCATENATE(Contemporary!D78,",",Contemporary!E78,",",Contemporary!G78,",",Contemporary!H78,",",Contemporary!P78,",",Contemporary!Q78,",",Contemporary!R78,",",Contemporary!T78,",",Contemporary!W78,",",Contemporary!B78,",",SUBSTITUTE(B88,",","%2c"),",",IF(Contemporary!K78&lt;&gt;"",Contemporary!K78,CONCATENATE(Contemporary!H78,";",Contemporary!I78)),",",Spotify!A83)),"")</f>
        <v>Dream A Little Dream Of Me,Laura Fygi,2002,Jazz,139,68,64,84,52,WIP,,classic rock;psychedelic rock;love;slow;acoustic;jazz;sweet,5ylLypaOksxWd75YrGtx2N</v>
      </c>
    </row>
    <row r="89" spans="1:1" ht="13.5" x14ac:dyDescent="0.25">
      <c r="A89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89,",","%2c"),",",IF(Contemporary!#REF!&lt;&gt;"",Contemporary!#REF!,CONCATENATE(Contemporary!#REF!,";",Contemporary!#REF!)),",",Spotify!A84)),"")</f>
        <v>#REF!</v>
      </c>
    </row>
    <row r="90" spans="1:1" ht="13.5" x14ac:dyDescent="0.25">
      <c r="A90" s="53" t="str">
        <f>IF((Contemporary!D79&lt;&gt;""),(CONCATENATE(Contemporary!D79,",",Contemporary!E79,",",Contemporary!G79,",",Contemporary!H79,",",Contemporary!P79,",",Contemporary!Q79,",",Contemporary!R79,",",Contemporary!T79,",",Contemporary!W79,",",Contemporary!B79,",",SUBSTITUTE(B90,",","%2c"),",",IF(Contemporary!K79&lt;&gt;"",Contemporary!K79,CONCATENATE(Contemporary!H79,";",Contemporary!I79)),",",Spotify!A85)),"")</f>
        <v>Dreams,Fleetwood Mac,1977,Rock,117,46,82,71,0,,,;,7cBs6EjIeGQD28QMOC0F2X</v>
      </c>
    </row>
    <row r="91" spans="1:1" ht="13.5" x14ac:dyDescent="0.25">
      <c r="A91" s="53" t="str">
        <f>IF((Contemporary!D80&lt;&gt;""),(CONCATENATE(Contemporary!D80,",",Contemporary!E80,",",Contemporary!G80,",",Contemporary!H80,",",Contemporary!P80,",",Contemporary!Q80,",",Contemporary!R80,",",Contemporary!T80,",",Contemporary!W80,",",Contemporary!B80,",",SUBSTITUTE(B91,",","%2c"),",",IF(Contemporary!K80&lt;&gt;"",Contemporary!K80,CONCATENATE(Contemporary!H80,";",Contemporary!I80)),",",Spotify!A86)),"")</f>
        <v>Drive,Incubus,2000,Rock,78,56,71,83,37,WIP,,;alternative;groovy;dance,13bJq2QpoHZEUrNWfHgOUu</v>
      </c>
    </row>
    <row r="92" spans="1:1" ht="13.5" x14ac:dyDescent="0.25">
      <c r="A92" s="53" t="str">
        <f>IF((Contemporary!D81&lt;&gt;""),(CONCATENATE(Contemporary!D81,",",Contemporary!E81,",",Contemporary!G81,",",Contemporary!H81,",",Contemporary!P81,",",Contemporary!Q81,",",Contemporary!R81,",",Contemporary!T81,",",Contemporary!W81,",",Contemporary!B81,",",SUBSTITUTE(B92,",","%2c"),",",IF(Contemporary!K81&lt;&gt;"",Contemporary!K81,CONCATENATE(Contemporary!H81,";",Contemporary!I81)),",",Spotify!A87)),"")</f>
        <v>Dust in the Wind,Kansas,1978,Rock,123,69,69,49,72,WIP,,christmas;alternative;acoustic;oldies;retro;love,4T6HLdP6OcAtqC6tGnQelG</v>
      </c>
    </row>
    <row r="93" spans="1:1" ht="13.5" x14ac:dyDescent="0.25">
      <c r="A93" s="53" t="str">
        <f>IF((Contemporary!D82&lt;&gt;""),(CONCATENATE(Contemporary!D82,",",Contemporary!E82,",",Contemporary!G82,",",Contemporary!H82,",",Contemporary!P82,",",Contemporary!Q82,",",Contemporary!R82,",",Contemporary!T82,",",Contemporary!W82,",",Contemporary!B82,",",SUBSTITUTE(B93,",","%2c"),",",IF(Contemporary!K82&lt;&gt;"",Contemporary!K82,CONCATENATE(Contemporary!H82,";",Contemporary!I82)),",",Spotify!A88)),"")</f>
        <v>Earth Angel,Penguins,1954,RnB,79,34,37,45,76,WIP,,soft rock;yacht rock;oldies;retro;love;slow;waltz,52VIdyKqp1pJRSyUQaxKUA</v>
      </c>
    </row>
    <row r="94" spans="1:1" ht="13.5" x14ac:dyDescent="0.25">
      <c r="A94" s="53" t="str">
        <f>IF((Contemporary!D83&lt;&gt;""),(CONCATENATE(Contemporary!D83,",",Contemporary!E83,",",Contemporary!G83,",",Contemporary!H83,",",Contemporary!P83,",",Contemporary!Q83,",",Contemporary!R83,",",Contemporary!T83,",",Contemporary!W83,",",Contemporary!B83,",",SUBSTITUTE(B94,",","%2c"),",",IF(Contemporary!K83&lt;&gt;"",Contemporary!K83,CONCATENATE(Contemporary!H83,";",Contemporary!I83)),",",Spotify!A89)),"")</f>
        <v>Eight Days A Week,Beatles,1964,Rock,115,54,69,76,71,,,yacht rock;classic rock;soft rock;oldies;retro;love;dance;fast,1prZ0pr6XoRCxcrC3MCL0M</v>
      </c>
    </row>
    <row r="95" spans="1:1" ht="13.5" x14ac:dyDescent="0.25">
      <c r="A95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95,",","%2c"),",",IF(Contemporary!#REF!&lt;&gt;"",Contemporary!#REF!,CONCATENATE(Contemporary!#REF!,";",Contemporary!#REF!)),",",Spotify!A90)),"")</f>
        <v>#REF!</v>
      </c>
    </row>
    <row r="96" spans="1:1" ht="13.5" x14ac:dyDescent="0.25">
      <c r="A96" s="53" t="str">
        <f>IF((Contemporary!D84&lt;&gt;""),(CONCATENATE(Contemporary!D84,",",Contemporary!E84,",",Contemporary!G84,",",Contemporary!H84,",",Contemporary!P84,",",Contemporary!Q84,",",Contemporary!R84,",",Contemporary!T84,",",Contemporary!W84,",",Contemporary!B84,",",SUBSTITUTE(B96,",","%2c"),",",IF(Contemporary!K84&lt;&gt;"",Contemporary!K84,CONCATENATE(Contemporary!H84,";",Contemporary!I84)),",",Spotify!A91)),"")</f>
        <v>Escape (Pina Colada),Rupert Holmes,1979,Rock,96,50,92,55,1,,,;groovy;love;dance;oldies;retro,59eAcAyhYSLi5GKFrgHJzG</v>
      </c>
    </row>
    <row r="97" spans="1:1" ht="13.5" x14ac:dyDescent="0.25">
      <c r="A97" s="53" t="str">
        <f>IF((Contemporary!D85&lt;&gt;""),(CONCATENATE(Contemporary!D85,",",Contemporary!E85,",",Contemporary!G85,",",Contemporary!H85,",",Contemporary!P85,",",Contemporary!Q85,",",Contemporary!R85,",",Contemporary!T85,",",Contemporary!W85,",",Contemporary!B85,",",SUBSTITUTE(B97,",","%2c"),",",IF(Contemporary!K85&lt;&gt;"",Contemporary!K85,CONCATENATE(Contemporary!H85,";",Contemporary!I85)),",",Spotify!A92)),"")</f>
        <v>Every Breath You Take,The Police,1983,Rock,82,43,50,23,51,,,folk;,0YOOXnCJihgyluizqhAcrz</v>
      </c>
    </row>
    <row r="98" spans="1:1" ht="13.5" x14ac:dyDescent="0.25">
      <c r="A98" s="53" t="str">
        <f>IF((Contemporary!D86&lt;&gt;""),(CONCATENATE(Contemporary!D86,",",Contemporary!E86,",",Contemporary!G86,",",Contemporary!H86,",",Contemporary!P86,",",Contemporary!Q86,",",Contemporary!R86,",",Contemporary!T86,",",Contemporary!W86,",",Contemporary!B86,",",SUBSTITUTE(B98,",","%2c"),",",IF(Contemporary!K86&lt;&gt;"",Contemporary!K86,CONCATENATE(Contemporary!H86,";",Contemporary!I86)),",",Spotify!A93)),"")</f>
        <v>Every Little Thing She Does Is Magic,Eric Hutchinson,1981,Pop,108,26,46,50,44,,,;alternative;dance;fast;love,111i0gGDZQ3NbXdY2dbpet</v>
      </c>
    </row>
    <row r="99" spans="1:1" ht="13.5" x14ac:dyDescent="0.25">
      <c r="A99" s="53" t="str">
        <f>IF((Contemporary!D87&lt;&gt;""),(CONCATENATE(Contemporary!D87,",",Contemporary!E87,",",Contemporary!G87,",",Contemporary!H87,",",Contemporary!P87,",",Contemporary!Q87,",",Contemporary!R87,",",Contemporary!T87,",",Contemporary!W87,",",Contemporary!B87,",",SUBSTITUTE(B99,",","%2c"),",",IF(Contemporary!K87&lt;&gt;"",Contemporary!K87,CONCATENATE(Contemporary!H87,";",Contemporary!I87)),",",Spotify!A94)),"")</f>
        <v>Everything,Michael Buble,2006,Pop,102,37,82,29,74,WIP,,singer-songwriter;groovy;dance,6Qb7gtV6Q4MnUjSbkFcopl</v>
      </c>
    </row>
    <row r="100" spans="1:1" ht="13.5" x14ac:dyDescent="0.25">
      <c r="A100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100,",","%2c"),",",IF(Contemporary!#REF!&lt;&gt;"",Contemporary!#REF!,CONCATENATE(Contemporary!#REF!,";",Contemporary!#REF!)),",",Spotify!#REF!)),"")</f>
        <v>#REF!</v>
      </c>
    </row>
    <row r="101" spans="1:1" ht="13.5" x14ac:dyDescent="0.25">
      <c r="A101" s="53" t="str">
        <f>IF((Contemporary!D88&lt;&gt;""),(CONCATENATE(Contemporary!D88,",",Contemporary!E88,",",Contemporary!G88,",",Contemporary!H88,",",Contemporary!P88,",",Contemporary!Q88,",",Contemporary!R88,",",Contemporary!T88,",",Contemporary!W88,",",Contemporary!B88,",",SUBSTITUTE(B101,",","%2c"),",",IF(Contemporary!K88&lt;&gt;"",Contemporary!K88,CONCATENATE(Contemporary!H88,";",Contemporary!I88)),",",Spotify!A95)),"")</f>
        <v>Everything I Own,Bread,1972,Rock,95,25,60,37,66,WIP,,indie folk;love;slow;oldies;retro,0eBryM7ePQH3Klt3jz8xZd</v>
      </c>
    </row>
    <row r="102" spans="1:1" ht="13.5" x14ac:dyDescent="0.25">
      <c r="A102" s="53" t="str">
        <f>IF((Contemporary!D89&lt;&gt;""),(CONCATENATE(Contemporary!D89,",",Contemporary!E89,",",Contemporary!G89,",",Contemporary!H89,",",Contemporary!P89,",",Contemporary!Q89,",",Contemporary!R89,",",Contemporary!T89,",",Contemporary!W89,",",Contemporary!B89,",",SUBSTITUTE(B102,",","%2c"),",",IF(Contemporary!K89&lt;&gt;"",Contemporary!K89,CONCATENATE(Contemporary!H89,";",Contemporary!I89)),",",Spotify!A96)),"")</f>
        <v>Everywhere,Fleetwood Mac,1987,Rock,97,7,44,26,81,,,folk;folk rock;,6oMZhY0f1ReI6AJDDYfuSb</v>
      </c>
    </row>
    <row r="103" spans="1:1" ht="13.5" x14ac:dyDescent="0.25">
      <c r="A103" s="53" t="str">
        <f>IF((Contemporary!D90&lt;&gt;""),(CONCATENATE(Contemporary!D90,",",Contemporary!E90,",",Contemporary!G90,",",Contemporary!H90,",",Contemporary!P90,",",Contemporary!Q90,",",Contemporary!R90,",",Contemporary!T90,",",Contemporary!W90,",",Contemporary!B90,",",SUBSTITUTE(B103,",","%2c"),",",IF(Contemporary!K90&lt;&gt;"",Contemporary!K90,CONCATENATE(Contemporary!H90,";",Contemporary!I90)),",",Spotify!A97)),"")</f>
        <v>Eye Of The Tiger,Survivor,1982,Rock,138,42,21,12,86,,,;groovy;dance;fast;oldies;retro,7LVHVU3tWfcxj5aiPFEW4Q</v>
      </c>
    </row>
    <row r="104" spans="1:1" ht="13.5" x14ac:dyDescent="0.25">
      <c r="A104" s="53" t="str">
        <f>IF((Contemporary!D91&lt;&gt;""),(CONCATENATE(Contemporary!D91,",",Contemporary!E91,",",Contemporary!G91,",",Contemporary!H91,",",Contemporary!P91,",",Contemporary!Q91,",",Contemporary!R91,",",Contemporary!T91,",",Contemporary!W91,",",Contemporary!B91,",",SUBSTITUTE(B104,",","%2c"),",",IF(Contemporary!K91&lt;&gt;"",Contemporary!K91,CONCATENATE(Contemporary!H91,";",Contemporary!I91)),",",Spotify!A98)),"")</f>
        <v>Faith,George Michael,1987,Rock,118,68,71,65,14,WIP,,;groovy;dance;fast;oldies;retro;love,0yLdNVWF3Srea0uzk55zFn</v>
      </c>
    </row>
    <row r="105" spans="1:1" ht="13.5" x14ac:dyDescent="0.25">
      <c r="A105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105,",","%2c"),",",IF(Contemporary!#REF!&lt;&gt;"",Contemporary!#REF!,CONCATENATE(Contemporary!#REF!,";",Contemporary!#REF!)),",",Spotify!A99)),"")</f>
        <v>#REF!</v>
      </c>
    </row>
    <row r="106" spans="1:1" ht="13.5" x14ac:dyDescent="0.25">
      <c r="A106" s="53" t="str">
        <f>IF((Contemporary!D92&lt;&gt;""),(CONCATENATE(Contemporary!D92,",",Contemporary!E92,",",Contemporary!G92,",",Contemporary!H92,",",Contemporary!P92,",",Contemporary!Q92,",",Contemporary!R92,",",Contemporary!T92,",",Contemporary!W92,",",Contemporary!B92,",",SUBSTITUTE(B106,",","%2c"),",",IF(Contemporary!K92&lt;&gt;"",Contemporary!K92,CONCATENATE(Contemporary!H92,";",Contemporary!I92)),",",Spotify!A100)),"")</f>
        <v>Fare Thee Well (Dink's Song),Various,2002,Folk,105,59,82,92,75,WIP,,;acoustic;slow;alternative;folk,4KoecuyOpZaNFZ0UqVsllc</v>
      </c>
    </row>
    <row r="107" spans="1:1" ht="13.5" x14ac:dyDescent="0.25">
      <c r="A107" s="53" t="str">
        <f>IF((Contemporary!D93&lt;&gt;""),(CONCATENATE(Contemporary!D93,",",Contemporary!E93,",",Contemporary!G93,",",Contemporary!H93,",",Contemporary!P93,",",Contemporary!Q93,",",Contemporary!R93,",",Contemporary!T93,",",Contemporary!W93,",",Contemporary!B93,",",SUBSTITUTE(B107,",","%2c"),",",IF(Contemporary!K93&lt;&gt;"",Contemporary!K93,CONCATENATE(Contemporary!H93,";",Contemporary!I93)),",",Spotify!A101)),"")</f>
        <v>Feels Like Home,Edwina Hayes,2009,Folk,99,52,65,82,81,WIP,,folk rock;country rock;slow;love,1qRA5BS78u3gME0loMl9AA</v>
      </c>
    </row>
    <row r="108" spans="1:1" ht="13.5" x14ac:dyDescent="0.25">
      <c r="A108" s="53" t="str">
        <f>IF((Contemporary!D94&lt;&gt;""),(CONCATENATE(Contemporary!D94,",",Contemporary!E94,",",Contemporary!G94,",",Contemporary!H94,",",Contemporary!P94,",",Contemporary!Q94,",",Contemporary!R94,",",Contemporary!T94,",",Contemporary!W94,",",Contemporary!B94,",",SUBSTITUTE(B108,",","%2c"),",",IF(Contemporary!K94&lt;&gt;"",Contemporary!K94,CONCATENATE(Contemporary!H94,";",Contemporary!I94)),",",Spotify!A102)),"")</f>
        <v>Fifty Ways To Leave Your Lover,Paul Simon,1975,Rock,144,80,57,52,22,WIP,,;oldies;retro;love;groovy,2WSTUNo3ZtQLeOkp362tcB</v>
      </c>
    </row>
    <row r="109" spans="1:1" ht="13.5" x14ac:dyDescent="0.25">
      <c r="A109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109,",","%2c"),",",IF(Contemporary!#REF!&lt;&gt;"",Contemporary!#REF!,CONCATENATE(Contemporary!#REF!,";",Contemporary!#REF!)),",",Spotify!A103)),"")</f>
        <v>#REF!</v>
      </c>
    </row>
    <row r="110" spans="1:1" ht="13.5" x14ac:dyDescent="0.25">
      <c r="A110" s="53" t="str">
        <f>IF((Contemporary!D95&lt;&gt;""),(CONCATENATE(Contemporary!D95,",",Contemporary!E95,",",Contemporary!G95,",",Contemporary!H95,",",Contemporary!P95,",",Contemporary!Q95,",",Contemporary!R95,",",Contemporary!T95,",",Contemporary!W95,",",Contemporary!B95,",",SUBSTITUTE(B110,",","%2c"),",",IF(Contemporary!K95&lt;&gt;"",Contemporary!K95,CONCATENATE(Contemporary!H95,";",Contemporary!I95)),",",Spotify!A104)),"")</f>
        <v>First Day Of My Life,Bright Eyes,2005,Folk,100,88,62,78,82,WIP,,soft pop;alternative;acoustic;love;sweet,0afhq8XCExXpqazXczTSve</v>
      </c>
    </row>
    <row r="111" spans="1:1" ht="13.5" x14ac:dyDescent="0.25">
      <c r="A111" s="53" t="str">
        <f>IF((Contemporary!D96&lt;&gt;""),(CONCATENATE(Contemporary!D96,",",Contemporary!E96,",",Contemporary!G96,",",Contemporary!H96,",",Contemporary!P96,",",Contemporary!Q96,",",Contemporary!R96,",",Contemporary!T96,",",Contemporary!W96,",",Contemporary!B96,",",SUBSTITUTE(B111,",","%2c"),",",IF(Contemporary!K96&lt;&gt;"",Contemporary!K96,CONCATENATE(Contemporary!H96,";",Contemporary!I96)),",",Spotify!A105)),"")</f>
        <v>Five Hundred Miles,Peter Paul and Mary,1962,Folk,176,80,63,91,84,,,;slow;love;acoustic;alternative;oldies;retro;waltz;folk,11mwFrKvLXCbcVGNxffGyP</v>
      </c>
    </row>
    <row r="112" spans="1:1" ht="13.5" x14ac:dyDescent="0.25">
      <c r="A112" s="53" t="str">
        <f>IF((Contemporary!D97&lt;&gt;""),(CONCATENATE(Contemporary!D97,",",Contemporary!E97,",",Contemporary!G97,",",Contemporary!H97,",",Contemporary!P97,",",Contemporary!Q97,",",Contemporary!R97,",",Contemporary!T97,",",Contemporary!W97,",",Contemporary!B97,",",SUBSTITUTE(B112,",","%2c"),",",IF(Contemporary!K97&lt;&gt;"",Contemporary!K97,CONCATENATE(Contemporary!H97,";",Contemporary!I97)),",",Spotify!A106)),"")</f>
        <v>Fix You,Coldplay,2005,Rock,116,79,81,86,21,,,french house;electronic;electro;love;slow,5bDrb5U9wtV4tzeiVhw7kO</v>
      </c>
    </row>
    <row r="113" spans="1:1" ht="13.5" x14ac:dyDescent="0.25">
      <c r="A113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113,",","%2c"),",",IF(Contemporary!#REF!&lt;&gt;"",Contemporary!#REF!,CONCATENATE(Contemporary!#REF!,";",Contemporary!#REF!)),",",Spotify!A107)),"")</f>
        <v>#REF!</v>
      </c>
    </row>
    <row r="114" spans="1:1" ht="13.5" x14ac:dyDescent="0.25">
      <c r="A114" s="53" t="str">
        <f>IF((Contemporary!D98&lt;&gt;""),(CONCATENATE(Contemporary!D98,",",Contemporary!E98,",",Contemporary!G98,",",Contemporary!H98,",",Contemporary!P98,",",Contemporary!Q98,",",Contemporary!R98,",",Contemporary!T98,",",Contemporary!W98,",",Contemporary!B98,",",SUBSTITUTE(B114,",","%2c"),",",IF(Contemporary!K98&lt;&gt;"",Contemporary!K98,CONCATENATE(Contemporary!H98,";",Contemporary!I98)),",",Spotify!A108)),"")</f>
        <v>Flowers,Miley Cyrus,2023,Pop,186,36,44,36,51,,,acoustic pop;love;dance;groovy;fast,7rohDMzsbmSmol7sIZs0Px</v>
      </c>
    </row>
    <row r="115" spans="1:1" ht="13.5" x14ac:dyDescent="0.25">
      <c r="A115" s="53" t="str">
        <f>IF((Contemporary!D99&lt;&gt;""),(CONCATENATE(Contemporary!D99,",",Contemporary!E99,",",Contemporary!G99,",",Contemporary!H99,",",Contemporary!P99,",",Contemporary!Q99,",",Contemporary!R99,",",Contemporary!T99,",",Contemporary!W99,",",Contemporary!B99,",",SUBSTITUTE(B115,",","%2c"),",",IF(Contemporary!K99&lt;&gt;"",Contemporary!K99,CONCATENATE(Contemporary!H99,";",Contemporary!I99)),",",Spotify!A109)),"")</f>
        <v>Fly Me To The Moon,Frank Sinatra,1954,Pop,118,82,75,94,44,,,pop;jazz;love;groovy;dance;oldies;retro,2TRuBFYZYw0Q7qIVBhqR1T</v>
      </c>
    </row>
    <row r="116" spans="1:1" ht="13.5" x14ac:dyDescent="0.25">
      <c r="A116" s="53" t="e">
        <f>IF((Contemporary!D100&lt;&gt;""),(CONCATENATE(Contemporary!D100,",",Contemporary!E100,",",Contemporary!G100,",",Contemporary!H100,",",Contemporary!P100,",",Contemporary!Q100,",",Contemporary!R100,",",Contemporary!T100,",",Contemporary!W100,",",Contemporary!B100,",",SUBSTITUTE(B116,",","%2c"),",",IF(Contemporary!K100&lt;&gt;"",Contemporary!K100,CONCATENATE(Contemporary!H100,";",Contemporary!I100)),",",Spotify!#REF!)),"")</f>
        <v>#REF!</v>
      </c>
    </row>
    <row r="117" spans="1:1" ht="13.5" x14ac:dyDescent="0.25">
      <c r="A117" s="53" t="str">
        <f>IF((Contemporary!D101&lt;&gt;""),(CONCATENATE(Contemporary!D101,",",Contemporary!E101,",",Contemporary!G101,",",Contemporary!H101,",",Contemporary!P101,",",Contemporary!Q101,",",Contemporary!R101,",",Contemporary!T101,",",Contemporary!W101,",",Contemporary!B101,",",SUBSTITUTE(B117,",","%2c"),",",IF(Contemporary!K101&lt;&gt;"",Contemporary!K101,CONCATENATE(Contemporary!H101,";",Contemporary!I101)),",",Spotify!A110)),"")</f>
        <v>For What It's Worth,Buffalo Springfield,1966,Folk,95,43,48,65,82,WIP,,punk;pop punk;alternative;groovy;dance;oldies;retro;folk;slow,6ORqU0bHbVCRjXm9AjyHyZ</v>
      </c>
    </row>
    <row r="118" spans="1:1" ht="13.5" x14ac:dyDescent="0.25">
      <c r="A118" s="53" t="str">
        <f>IF((Contemporary!D102&lt;&gt;""),(CONCATENATE(Contemporary!D102,",",Contemporary!E102,",",Contemporary!G102,",",Contemporary!H102,",",Contemporary!P102,",",Contemporary!Q102,",",Contemporary!R102,",",Contemporary!T102,",",Contemporary!W102,",",Contemporary!B102,",",SUBSTITUTE(B118,",","%2c"),",",IF(Contemporary!K102&lt;&gt;"",Contemporary!K102,CONCATENATE(Contemporary!H102,";",Contemporary!I102)),",",Spotify!A111)),"")</f>
        <v>Forever,Eric Hutchinson,2014,Rock,118,63,68,60,23,WIP,,;love;dance;fast,0zzSZkEfZiZCAldZj8x128</v>
      </c>
    </row>
    <row r="119" spans="1:1" ht="13.5" x14ac:dyDescent="0.25">
      <c r="A119" s="53" t="str">
        <f>IF((Contemporary!D103&lt;&gt;""),(CONCATENATE(Contemporary!D103,",",Contemporary!E103,",",Contemporary!G103,",",Contemporary!H103,",",Contemporary!P103,",",Contemporary!Q103,",",Contemporary!R103,",",Contemporary!T103,",",Contemporary!W103,",",Contemporary!B103,",",SUBSTITUTE(B119,",","%2c"),",",IF(Contemporary!K103&lt;&gt;"",Contemporary!K103,CONCATENATE(Contemporary!H103,";",Contemporary!I103)),",",Spotify!A112)),"")</f>
        <v>Free Falling,John Mayer,1989,Rock,127,37,59,63,57,,,christmas;big band;adult standards;swing music;jazz;vocal jazz;alternative;acoustic;oldies;retro;love,74jklVKHYTmNMp0baGm6FB</v>
      </c>
    </row>
    <row r="120" spans="1:1" ht="13.5" x14ac:dyDescent="0.25">
      <c r="A120" s="53" t="str">
        <f>IF((Contemporary!D104&lt;&gt;""),(CONCATENATE(Contemporary!D104,",",Contemporary!E104,",",Contemporary!G104,",",Contemporary!H104,",",Contemporary!P104,",",Contemporary!Q104,",",Contemporary!R104,",",Contemporary!T104,",",Contemporary!W104,",",Contemporary!B104,",",SUBSTITUTE(B120,",","%2c"),",",IF(Contemporary!K104&lt;&gt;"",Contemporary!K104,CONCATENATE(Contemporary!H104,";",Contemporary!I104)),",",Spotify!A113)),"")</f>
        <v>Galway Girl,Ed Sheeran,2017,Pop,83,31,54,32,0,WIP,,;alternative;dance;fast;love,6HhRhNhizv18kTfHED0GNA</v>
      </c>
    </row>
    <row r="121" spans="1:1" ht="13.5" x14ac:dyDescent="0.25">
      <c r="A121" s="53" t="str">
        <f>IF((Contemporary!D105&lt;&gt;""),(CONCATENATE(Contemporary!D105,",",Contemporary!E105,",",Contemporary!G105,",",Contemporary!H105,",",Contemporary!P105,",",Contemporary!Q105,",",Contemporary!R105,",",Contemporary!T105,",",Contemporary!W105,",",Contemporary!B105,",",SUBSTITUTE(B121,",","%2c"),",",IF(Contemporary!K105&lt;&gt;"",Contemporary!K105,CONCATENATE(Contemporary!H105,";",Contemporary!I105)),",",Spotify!A114)),"")</f>
        <v>Genie In A Bottle,Christina Aguilera,1999,Pop,80,63,59,91,0,WIP,,rockabilly;rock and roll;boogie-woogie;love;dance;fast;groovy,7xe3EQCvXnx6Q0zs41Y65n</v>
      </c>
    </row>
    <row r="122" spans="1:1" ht="13.5" x14ac:dyDescent="0.25">
      <c r="A122" s="53" t="str">
        <f>IF((Contemporary!D106&lt;&gt;""),(CONCATENATE(Contemporary!D106,",",Contemporary!E106,",",Contemporary!G106,",",Contemporary!H106,",",Contemporary!P106,",",Contemporary!Q106,",",Contemporary!R106,",",Contemporary!T106,",",Contemporary!W106,",",Contemporary!B106,",",SUBSTITUTE(B122,",","%2c"),",",IF(Contemporary!K106&lt;&gt;"",Contemporary!K106,CONCATENATE(Contemporary!H106,";",Contemporary!I106)),",",Spotify!A115)),"")</f>
        <v>Get Lucky,Daft Punk,2013,Disco,130,41,61,23,68,WIP,,;,3ou9rSNUQnE7XYmJkUUIOc</v>
      </c>
    </row>
    <row r="123" spans="1:1" ht="13.5" x14ac:dyDescent="0.25">
      <c r="A123" s="53" t="str">
        <f>IF((Contemporary!D107&lt;&gt;""),(CONCATENATE(Contemporary!D107,",",Contemporary!E107,",",Contemporary!G107,",",Contemporary!H107,",",Contemporary!P107,",",Contemporary!Q107,",",Contemporary!R107,",",Contemporary!T107,",",Contemporary!W107,",",Contemporary!B107,",",SUBSTITUTE(B123,",","%2c"),",",IF(Contemporary!K107&lt;&gt;"",Contemporary!K107,CONCATENATE(Contemporary!H107,";",Contemporary!I107)),",",Spotify!A116)),"")</f>
        <v>Gimme Gimme Gimme,ABBA,1979,Pop,143,51,55,51,69,,,soft rock;yacht rock;retro;oldies;dance;groovy;love,0gZXockVcE7rEhSf4mcGLO</v>
      </c>
    </row>
    <row r="124" spans="1:1" ht="13.5" x14ac:dyDescent="0.25">
      <c r="A124" s="53" t="str">
        <f>IF((Contemporary!D108&lt;&gt;""),(CONCATENATE(Contemporary!D108,",",Contemporary!E108,",",Contemporary!G108,",",Contemporary!H108,",",Contemporary!P108,",",Contemporary!Q108,",",Contemporary!R108,",",Contemporary!T108,",",Contemporary!W108,",",Contemporary!B108,",",SUBSTITUTE(B124,",","%2c"),",",IF(Contemporary!K108&lt;&gt;"",Contemporary!K108,CONCATENATE(Contemporary!H108,";",Contemporary!I108)),",",Spotify!A117)),"")</f>
        <v>Girls Just Want To Have Fun,Mayries,1983,Pop,73,20,34,44,61,WIP,,singer-songwriter;acoustic;alternative;love;retro;oldies,5USZyz6dnBEn1oLsKcAKQy</v>
      </c>
    </row>
    <row r="125" spans="1:1" ht="13.5" x14ac:dyDescent="0.25">
      <c r="A125" s="53" t="str">
        <f>IF((Contemporary!D109&lt;&gt;""),(CONCATENATE(Contemporary!D109,",",Contemporary!E109,",",Contemporary!G109,",",Contemporary!H109,",",Contemporary!P109,",",Contemporary!Q109,",",Contemporary!R109,",",Contemporary!T109,",",Contemporary!W109,",",Contemporary!B109,",",SUBSTITUTE(B125,",","%2c"),",",IF(Contemporary!K109&lt;&gt;"",Contemporary!K109,CONCATENATE(Contemporary!H109,";",Contemporary!I109)),",",Spotify!A118)),"")</f>
        <v>Give A Little More,Maroon 5,2010,Disco,80,72,51,47,76,WIP,,;alternative;dance;fast;love,4JehYebiI9JE8sR8MisGVb</v>
      </c>
    </row>
    <row r="126" spans="1:1" ht="13.5" x14ac:dyDescent="0.25">
      <c r="A126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126,",","%2c"),",",IF(Contemporary!#REF!&lt;&gt;"",Contemporary!#REF!,CONCATENATE(Contemporary!#REF!,";",Contemporary!#REF!)),",",Spotify!A119)),"")</f>
        <v>#REF!</v>
      </c>
    </row>
    <row r="127" spans="1:1" ht="13.5" x14ac:dyDescent="0.25">
      <c r="A127" s="53" t="str">
        <f>IF((Contemporary!D110&lt;&gt;""),(CONCATENATE(Contemporary!D110,",",Contemporary!E110,",",Contemporary!G110,",",Contemporary!H110,",",Contemporary!P110,",",Contemporary!Q110,",",Contemporary!R110,",",Contemporary!T110,",",Contemporary!W110,",",Contemporary!B110,",",SUBSTITUTE(B127,",","%2c"),",",IF(Contemporary!K110&lt;&gt;"",Contemporary!K110,CONCATENATE(Contemporary!H110,";",Contemporary!I110)),",",Spotify!A120)),"")</f>
        <v>Good Riddance (Time Of Your Life),Green Day,1997,Rock,113,31,65,41,63,WIP,,classic rock;folk rock;singer-songwriter;roots rock;alternative;acoustic,7sCHy8QQUz3CRvUMp53Cbm</v>
      </c>
    </row>
    <row r="128" spans="1:1" ht="13.5" x14ac:dyDescent="0.25">
      <c r="A128" s="53" t="str">
        <f>IF((Contemporary!D111&lt;&gt;""),(CONCATENATE(Contemporary!D111,",",Contemporary!E111,",",Contemporary!G111,",",Contemporary!H111,",",Contemporary!P111,",",Contemporary!Q111,",",Contemporary!R111,",",Contemporary!T111,",",Contemporary!W111,",",Contemporary!B111,",",SUBSTITUTE(B128,",","%2c"),",",IF(Contemporary!K111&lt;&gt;"",Contemporary!K111,CONCATENATE(Contemporary!H111,";",Contemporary!I111)),",",Spotify!A121)),"")</f>
        <v>Goodnight Goodbye,Eric Hutchinson,2014,Rock,106,50,75,44,0,WIP,,;acoustic;love;dance;groovy,4ptonNXwbPtpiPX062ruaM</v>
      </c>
    </row>
    <row r="129" spans="1:1" ht="13.5" x14ac:dyDescent="0.25">
      <c r="A129" s="53" t="str">
        <f>IF((Contemporary!D112&lt;&gt;""),(CONCATENATE(Contemporary!D112,",",Contemporary!E112,",",Contemporary!G112,",",Contemporary!H112,",",Contemporary!P112,",",Contemporary!Q112,",",Contemporary!R112,",",Contemporary!T112,",",Contemporary!W112,",",Contemporary!B112,",",SUBSTITUTE(B129,",","%2c"),",",IF(Contemporary!K112&lt;&gt;"",Contemporary!K112,CONCATENATE(Contemporary!H112,";",Contemporary!I112)),",",Spotify!A122)),"")</f>
        <v>Got You Under My Skin,Frank Sinatra,1956,Pop,116,47,74,89,70,WIP,,classic rock;southern rock;country rock;jazz;love;groovy;dance;oldies;retro,5DnT9a5IM3eMjKgXTWVJvi</v>
      </c>
    </row>
    <row r="130" spans="1:1" ht="13.5" x14ac:dyDescent="0.25">
      <c r="A130" s="53" t="str">
        <f>IF((Contemporary!D113&lt;&gt;""),(CONCATENATE(Contemporary!D113,",",Contemporary!E113,",",Contemporary!G113,",",Contemporary!H113,",",Contemporary!P113,",",Contemporary!Q113,",",Contemporary!R113,",",Contemporary!T113,",",Contemporary!W113,",",Contemporary!B113,",",SUBSTITUTE(B130,",","%2c"),",",IF(Contemporary!K113&lt;&gt;"",Contemporary!K113,CONCATENATE(Contemporary!H113,";",Contemporary!I113)),",",Spotify!A123)),"")</f>
        <v>Grayscale,Skye Zentz,2012,Folk,171,40,54,83,77,WIP,,classic rock;folk rock;singer-songwriter;roots rock;acoustic;alternative;love;sweet;folk;waltz,26QKxvjlCo2fSd3T4c8Zpb</v>
      </c>
    </row>
    <row r="131" spans="1:1" ht="13.5" x14ac:dyDescent="0.25">
      <c r="A131" s="53" t="str">
        <f>IF((Contemporary!D114&lt;&gt;""),(CONCATENATE(Contemporary!D114,",",Contemporary!E114,",",Contemporary!G114,",",Contemporary!H114,",",Contemporary!P114,",",Contemporary!Q114,",",Contemporary!R114,",",Contemporary!T114,",",Contemporary!W114,",",Contemporary!B114,",",SUBSTITUTE(B131,",","%2c"),",",IF(Contemporary!K114&lt;&gt;"",Contemporary!K114,CONCATENATE(Contemporary!H114,";",Contemporary!I114)),",",Spotify!A124)),"")</f>
        <v>Great Balls Of Fire,Jerry Lee Lewis,1957,Rock 'n' roll,140,59,38,33,85,WIP,,;groovy;fast;dance;love;oldies;retro,7Ewz6bJ97vUqk5HdkvguFQ</v>
      </c>
    </row>
    <row r="132" spans="1:1" ht="13.5" x14ac:dyDescent="0.25">
      <c r="A132" s="53" t="str">
        <f>IF((Contemporary!D115&lt;&gt;""),(CONCATENATE(Contemporary!D115,",",Contemporary!E115,",",Contemporary!G115,",",Contemporary!H115,",",Contemporary!P115,",",Contemporary!Q115,",",Contemporary!R115,",",Contemporary!T115,",",Contemporary!W115,",",Contemporary!B115,",",SUBSTITUTE(B132,",","%2c"),",",IF(Contemporary!K115&lt;&gt;"",Contemporary!K115,CONCATENATE(Contemporary!H115,";",Contemporary!I115)),",",Spotify!A125)),"")</f>
        <v>Green Eyes,Coldplay,2002,Alternative,61,25,49,6,61,,,motown;alternative;acoustic;love;slow,0mHyWYXmmCB9iQyK18m3FQ</v>
      </c>
    </row>
    <row r="133" spans="1:1" ht="13.5" x14ac:dyDescent="0.25">
      <c r="A133" s="53" t="str">
        <f>IF((Contemporary!D116&lt;&gt;""),(CONCATENATE(Contemporary!D116,",",Contemporary!E116,",",Contemporary!G116,",",Contemporary!H116,",",Contemporary!P116,",",Contemporary!Q116,",",Contemporary!R116,",",Contemporary!T116,",",Contemporary!W116,",",Contemporary!B116,",",SUBSTITUTE(B133,",","%2c"),",",IF(Contemporary!K116&lt;&gt;"",Contemporary!K116,CONCATENATE(Contemporary!H116,";",Contemporary!I116)),",",Spotify!A126)),"")</f>
        <v>Guitar Man,Bread,1972,Rock,129,54,56,39,85,WIP,,classic rock;psychedelic rock;alternative;slow;love;retro;oldies,6dGnYIeXmHdcikdzNNDMm2</v>
      </c>
    </row>
    <row r="134" spans="1:1" ht="13.5" x14ac:dyDescent="0.25">
      <c r="A134" s="53" t="str">
        <f>IF((Contemporary!D117&lt;&gt;""),(CONCATENATE(Contemporary!D117,",",Contemporary!E117,",",Contemporary!G117,",",Contemporary!H117,",",Contemporary!P117,",",Contemporary!Q117,",",Contemporary!R117,",",Contemporary!T117,",",Contemporary!W117,",",Contemporary!B117,",",SUBSTITUTE(B134,",","%2c"),",",IF(Contemporary!K117&lt;&gt;"",Contemporary!K117,CONCATENATE(Contemporary!H117,";",Contemporary!I117)),",",Spotify!A127)),"")</f>
        <v>Hallelujah,Jeff Buckley,1984,Rock,144,53,56,23,83,,,post-grunge;slow;love;acoustic;alternative;oldies;retro,3NLrRZoMF0Lx6zTlYqeIo4</v>
      </c>
    </row>
    <row r="135" spans="1:1" ht="13.5" x14ac:dyDescent="0.25">
      <c r="A135" s="53" t="str">
        <f>IF((Contemporary!D118&lt;&gt;""),(CONCATENATE(Contemporary!D118,",",Contemporary!E118,",",Contemporary!G118,",",Contemporary!H118,",",Contemporary!P118,",",Contemporary!Q118,",",Contemporary!R118,",",Contemporary!T118,",",Contemporary!W118,",",Contemporary!B118,",",SUBSTITUTE(B135,",","%2c"),",",IF(Contemporary!K118&lt;&gt;"",Contemporary!K118,CONCATENATE(Contemporary!H118,";",Contemporary!I118)),",",Spotify!A128)),"")</f>
        <v>Halo,Beyonce,2008,Pop,75,62,46,16,11,,,latin pop;latin;groovy;alternative,2dsMRyRc0ZQrICwHfmtCFb</v>
      </c>
    </row>
    <row r="136" spans="1:1" ht="13.5" x14ac:dyDescent="0.25">
      <c r="A136" s="53" t="str">
        <f>IF((Contemporary!D119&lt;&gt;""),(CONCATENATE(Contemporary!D119,",",Contemporary!E119,",",Contemporary!G119,",",Contemporary!H119,",",Contemporary!P119,",",Contemporary!Q119,",",Contemporary!R119,",",Contemporary!T119,",",Contemporary!W119,",",Contemporary!B119,",",SUBSTITUTE(B136,",","%2c"),",",IF(Contemporary!K119&lt;&gt;"",Contemporary!K119,CONCATENATE(Contemporary!H119,";",Contemporary!I119)),",",Spotify!A129)),"")</f>
        <v>Happy,Pharell Williams,2013,Pop,74,63,46,59,75,WIP,,classic rock;psychedelic rock;dance;fast;love;groovy,1eT2CjXwFXNx6oY5ydvzKU</v>
      </c>
    </row>
    <row r="137" spans="1:1" ht="13.5" x14ac:dyDescent="0.25">
      <c r="A137" s="53" t="str">
        <f>IF((Contemporary!D120&lt;&gt;""),(CONCATENATE(Contemporary!D120,",",Contemporary!E120,",",Contemporary!G120,",",Contemporary!H120,",",Contemporary!P120,",",Contemporary!Q120,",",Contemporary!R120,",",Contemporary!T120,",",Contemporary!W120,",",Contemporary!B120,",",SUBSTITUTE(B137,",","%2c"),",",IF(Contemporary!K120&lt;&gt;"",Contemporary!K120,CONCATENATE(Contemporary!H120,";",Contemporary!I120)),",",Spotify!A130)),"")</f>
        <v>Harvest Moon,Neil Young,1992,Folk,97,89,67,80,85,,,soft pop;,4HlFJV71xXKIGcU3kRyttv</v>
      </c>
    </row>
    <row r="138" spans="1:1" ht="13.5" x14ac:dyDescent="0.25">
      <c r="A138" s="53" t="str">
        <f>IF((Contemporary!D121&lt;&gt;""),(CONCATENATE(Contemporary!D121,",",Contemporary!E121,",",Contemporary!G121,",",Contemporary!H121,",",Contemporary!P121,",",Contemporary!Q121,",",Contemporary!R121,",",Contemporary!T121,",",Contemporary!W121,",",Contemporary!B121,",",SUBSTITUTE(B138,",","%2c"),",",IF(Contemporary!K121&lt;&gt;"",Contemporary!K121,CONCATENATE(Contemporary!H121,";",Contemporary!I121)),",",Spotify!A131)),"")</f>
        <v>Havana,Camila Cabello,2017,Dance,104,29,66,30,84,,,;,4RCWB3V8V0dignt99LZ8vH</v>
      </c>
    </row>
    <row r="139" spans="1:1" ht="13.5" x14ac:dyDescent="0.25">
      <c r="A139" s="53" t="str">
        <f>IF((Contemporary!D122&lt;&gt;""),(CONCATENATE(Contemporary!D122,",",Contemporary!E122,",",Contemporary!G122,",",Contemporary!H122,",",Contemporary!P122,",",Contemporary!Q122,",",Contemporary!R122,",",Contemporary!T122,",",Contemporary!W122,",",Contemporary!B122,",",SUBSTITUTE(B139,",","%2c"),",",IF(Contemporary!K122&lt;&gt;"",Contemporary!K122,CONCATENATE(Contemporary!H122,";",Contemporary!I122)),",",Spotify!A132)),"")</f>
        <v>Have You Ever Seen The Rain,CCR,1971,Rock,147,51,58,61,87,,,classic rock;yacht rock;soft rock;oldies;retro;groovy;dance,40riOy7x9W7GXjyGp4pjAv</v>
      </c>
    </row>
    <row r="140" spans="1:1" ht="13.5" x14ac:dyDescent="0.25">
      <c r="A140" s="53" t="str">
        <f>IF((Contemporary!D123&lt;&gt;""),(CONCATENATE(Contemporary!D123,",",Contemporary!E123,",",Contemporary!G123,",",Contemporary!H123,",",Contemporary!P123,",",Contemporary!Q123,",",Contemporary!R123,",",Contemporary!T123,",",Contemporary!W123,",",Contemporary!B123,",",SUBSTITUTE(B140,",","%2c"),",",IF(Contemporary!K123&lt;&gt;"",Contemporary!K123,CONCATENATE(Contemporary!H123,";",Contemporary!I123)),",",Spotify!A133)),"")</f>
        <v>Heart Of Gold,Neil Young,1972,Rock,105,36,63,67,82,WIP,,disco;alternative;oldies;retro;slow;love,2JoZzpdeP2G6Csfdq5aLXP</v>
      </c>
    </row>
    <row r="141" spans="1:1" ht="13.5" x14ac:dyDescent="0.25">
      <c r="A141" s="53" t="str">
        <f>IF((Contemporary!D124&lt;&gt;""),(CONCATENATE(Contemporary!D124,",",Contemporary!E124,",",Contemporary!G124,",",Contemporary!H124,",",Contemporary!P124,",",Contemporary!Q124,",",Contemporary!R124,",",Contemporary!T124,",",Contemporary!W124,",",Contemporary!B124,",",SUBSTITUTE(B141,",","%2c"),",",IF(Contemporary!K124&lt;&gt;"",Contemporary!K124,CONCATENATE(Contemporary!H124,";",Contemporary!I124)),",",Spotify!A134)),"")</f>
        <v>Heaven,Bryan Adams,1985,Rock,90,69,49,41,85,,,;slow;dance;love,3RiPr603aXAoi4GHyXx0uy</v>
      </c>
    </row>
    <row r="142" spans="1:1" ht="13.5" x14ac:dyDescent="0.25">
      <c r="A142" s="53" t="str">
        <f>IF((Contemporary!D125&lt;&gt;""),(CONCATENATE(Contemporary!D125,",",Contemporary!E125,",",Contemporary!G125,",",Contemporary!H125,",",Contemporary!P125,",",Contemporary!Q125,",",Contemporary!R125,",",Contemporary!T125,",",Contemporary!W125,",",Contemporary!B125,",",SUBSTITUTE(B142,",","%2c"),",",IF(Contemporary!K125&lt;&gt;"",Contemporary!K125,CONCATENATE(Contemporary!H125,";",Contemporary!I125)),",",Spotify!A135)),"")</f>
        <v>Hello,Lionel Richie,1983,Pop,104,37,55,44,68,WIP,,;love;slow;oldies;retro,1PtJclc46wTk367PlsU6Uj</v>
      </c>
    </row>
    <row r="143" spans="1:1" ht="13.5" x14ac:dyDescent="0.25">
      <c r="A143" s="53" t="str">
        <f>IF((Contemporary!D127&lt;&gt;""),(CONCATENATE(Contemporary!D127,",",Contemporary!E127,",",Contemporary!G127,",",Contemporary!H127,",",Contemporary!P127,",",Contemporary!Q127,",",Contemporary!R127,",",Contemporary!T127,",",Contemporary!W127,",",Contemporary!B127,",",SUBSTITUTE(B143,",","%2c"),",",IF(Contemporary!K127&lt;&gt;"",Contemporary!K127,CONCATENATE(Contemporary!H127,";",Contemporary!I127)),",",Spotify!A136)),"")</f>
        <v>Here Without You,3 Doors Down,2002,Rock,160,80,49,97,68,,,classic rock;psychedelic rock;alternative;love,3KiexfmhxHvG5IgAElmTkd</v>
      </c>
    </row>
    <row r="144" spans="1:1" ht="13.5" x14ac:dyDescent="0.25">
      <c r="A144" s="53" t="str">
        <f>IF((Contemporary!D128&lt;&gt;""),(CONCATENATE(Contemporary!D128,",",Contemporary!E128,",",Contemporary!G128,",",Contemporary!H128,",",Contemporary!P128,",",Contemporary!Q128,",",Contemporary!R128,",",Contemporary!T128,",",Contemporary!W128,",",Contemporary!B128,",",SUBSTITUTE(B144,",","%2c"),",",IF(Contemporary!K128&lt;&gt;"",Contemporary!K128,CONCATENATE(Contemporary!H128,";",Contemporary!I128)),",",Spotify!A137)),"")</f>
        <v>Hero,Enrique Iglesias,2001,Pop,131,72,49,87,67,,,classic rock;psychedelic rock;,4pbG9SUmWIvsROVLF0zF9s</v>
      </c>
    </row>
    <row r="145" spans="1:1" ht="13.5" x14ac:dyDescent="0.25">
      <c r="A145" s="53" t="str">
        <f>IF((Contemporary!D129&lt;&gt;""),(CONCATENATE(Contemporary!D129,",",Contemporary!E129,",",Contemporary!G129,",",Contemporary!H129,",",Contemporary!P129,",",Contemporary!Q129,",",Contemporary!R129,",",Contemporary!T129,",",Contemporary!W129,",",Contemporary!B129,",",SUBSTITUTE(B145,",","%2c"),",",IF(Contemporary!K129&lt;&gt;"",Contemporary!K129,CONCATENATE(Contemporary!H129,";",Contemporary!I129)),",",Spotify!A138)),"")</f>
        <v>Hey Jude,Beatles,1968,Rock,80,21,52,49,65,,,;retro;oldies;dance;groovy;love,3kZC0ZmFWrEHdUCmUqlvgZ</v>
      </c>
    </row>
    <row r="146" spans="1:1" ht="13.5" x14ac:dyDescent="0.25">
      <c r="A146" s="53" t="str">
        <f>IF((Contemporary!D130&lt;&gt;""),(CONCATENATE(Contemporary!D130,",",Contemporary!E130,",",Contemporary!G130,",",Contemporary!H130,",",Contemporary!P130,",",Contemporary!Q130,",",Contemporary!R130,",",Contemporary!T130,",",Contemporary!W130,",",Contemporary!B130,",",SUBSTITUTE(B146,",","%2c"),",",IF(Contemporary!K130&lt;&gt;"",Contemporary!K130,CONCATENATE(Contemporary!H130,";",Contemporary!I130)),",",Spotify!A139)),"")</f>
        <v>Hey Soul Sister,Train,2002,Rock,117,78,77,80,79,,,disco;dance;fast;groovy;love;sweet,7rIovIsXE6kMn629b7kDig</v>
      </c>
    </row>
    <row r="147" spans="1:1" ht="13.5" x14ac:dyDescent="0.25">
      <c r="A147" s="53" t="str">
        <f>IF((Contemporary!D131&lt;&gt;""),(CONCATENATE(Contemporary!D131,",",Contemporary!E131,",",Contemporary!G131,",",Contemporary!H131,",",Contemporary!P131,",",Contemporary!Q131,",",Contemporary!R131,",",Contemporary!T131,",",Contemporary!W131,",",Contemporary!B131,",",SUBSTITUTE(B147,",","%2c"),",",IF(Contemporary!K131&lt;&gt;"",Contemporary!K131,CONCATENATE(Contemporary!H131,";",Contemporary!I131)),",",Spotify!A140)),"")</f>
        <v>Hey There Delilah,Plain White T's,2004,Pop,133,30,48,14,72,,,soft pop;acoustic pop;acoustic;love;sweet,53QF56cjZA9RTuuMZDrSA6</v>
      </c>
    </row>
    <row r="148" spans="1:1" ht="13.5" x14ac:dyDescent="0.25">
      <c r="A148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148,",","%2c"),",",IF(Contemporary!#REF!&lt;&gt;"",Contemporary!#REF!,CONCATENATE(Contemporary!#REF!,";",Contemporary!#REF!)),",",Spotify!A141)),"")</f>
        <v>#REF!</v>
      </c>
    </row>
    <row r="149" spans="1:1" ht="13.5" x14ac:dyDescent="0.25">
      <c r="A149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149,",","%2c"),",",IF(Contemporary!#REF!&lt;&gt;"",Contemporary!#REF!,CONCATENATE(Contemporary!#REF!,";",Contemporary!#REF!)),",",Spotify!A142)),"")</f>
        <v>#REF!</v>
      </c>
    </row>
    <row r="150" spans="1:1" ht="13.5" x14ac:dyDescent="0.25">
      <c r="A150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150,",","%2c"),",",IF(Contemporary!#REF!&lt;&gt;"",Contemporary!#REF!,CONCATENATE(Contemporary!#REF!,";",Contemporary!#REF!)),",",Spotify!A143)),"")</f>
        <v>#REF!</v>
      </c>
    </row>
    <row r="151" spans="1:1" ht="13.5" x14ac:dyDescent="0.25">
      <c r="A151" s="53" t="str">
        <f>IF((Contemporary!D132&lt;&gt;""),(CONCATENATE(Contemporary!D132,",",Contemporary!E132,",",Contemporary!G132,",",Contemporary!H132,",",Contemporary!P132,",",Contemporary!Q132,",",Contemporary!R132,",",Contemporary!T132,",",Contemporary!W132,",",Contemporary!B132,",",SUBSTITUTE(B151,",","%2c"),",",IF(Contemporary!K132&lt;&gt;"",Contemporary!K132,CONCATENATE(Contemporary!H132,";",Contemporary!I132)),",",Spotify!A144)),"")</f>
        <v>Hotel California,Eagles,1976,Rock,191,71,29,75,0,,,;retro;oldies;groovy,5FC0XyIOkvY1h5bo9t44TL</v>
      </c>
    </row>
    <row r="152" spans="1:1" ht="13.5" x14ac:dyDescent="0.25">
      <c r="A152" s="53" t="str">
        <f>IF((Contemporary!D133&lt;&gt;""),(CONCATENATE(Contemporary!D133,",",Contemporary!E133,",",Contemporary!G133,",",Contemporary!H133,",",Contemporary!P133,",",Contemporary!Q133,",",Contemporary!R133,",",Contemporary!T133,",",Contemporary!W133,",",Contemporary!B133,",",SUBSTITUTE(B152,",","%2c"),",",IF(Contemporary!K133&lt;&gt;"",Contemporary!K133,CONCATENATE(Contemporary!H133,";",Contemporary!I133)),",",Spotify!A145)),"")</f>
        <v>How Deep Is Your Love,Bee Gees,1977,Rock,134,45,54,71,0,,,folk rock;singer-songwriter;retro;oldies;groovy;love;dance,4t8tx6o7oM6Ax66ZUU361y</v>
      </c>
    </row>
    <row r="153" spans="1:1" ht="13.5" x14ac:dyDescent="0.25">
      <c r="A153" s="53" t="str">
        <f>IF((Contemporary!D134&lt;&gt;""),(CONCATENATE(Contemporary!D134,",",Contemporary!E134,",",Contemporary!G134,",",Contemporary!H134,",",Contemporary!P134,",",Contemporary!Q134,",",Contemporary!R134,",",Contemporary!T134,",",Contemporary!W134,",",Contemporary!B134,",",SUBSTITUTE(B153,",","%2c"),",",IF(Contemporary!K134&lt;&gt;"",Contemporary!K134,CONCATENATE(Contemporary!H134,";",Contemporary!I134)),",",Spotify!A146)),"")</f>
        <v>Hymn For The Weekend,Coldplay,2015,Pop,79,77,50,94,59,,,;dance;alternative;groovy;love,1CSLeVCXmetBh8IkTPMFdL</v>
      </c>
    </row>
    <row r="154" spans="1:1" ht="13.5" x14ac:dyDescent="0.25">
      <c r="A154" s="53" t="str">
        <f>IF((Contemporary!D135&lt;&gt;""),(CONCATENATE(Contemporary!D135,",",Contemporary!E135,",",Contemporary!G135,",",Contemporary!H135,",",Contemporary!P135,",",Contemporary!Q135,",",Contemporary!R135,",",Contemporary!T135,",",Contemporary!W135,",",Contemporary!B135,",",SUBSTITUTE(B154,",","%2c"),",",IF(Contemporary!K135&lt;&gt;"",Contemporary!K135,CONCATENATE(Contemporary!H135,";",Contemporary!I135)),",",Spotify!A147)),"")</f>
        <v>I Have A Dream,ABBA,1979,Pop,151,44,70,71,79,,,soft pop;acoustic pop;slow;retro;oldies,1EzrEOXmMH3G43AXT1y7pA</v>
      </c>
    </row>
    <row r="155" spans="1:1" ht="13.5" x14ac:dyDescent="0.25">
      <c r="A155" s="53" t="str">
        <f>IF((Contemporary!D136&lt;&gt;""),(CONCATENATE(Contemporary!D136,",",Contemporary!E136,",",Contemporary!G136,",",Contemporary!H136,",",Contemporary!P136,",",Contemporary!Q136,",",Contemporary!R136,",",Contemporary!T136,",",Contemporary!W136,",",Contemporary!B136,",",SUBSTITUTE(B155,",","%2c"),",",IF(Contemporary!K136&lt;&gt;"",Contemporary!K136,CONCATENATE(Contemporary!H136,";",Contemporary!I136)),",",Spotify!A148)),"")</f>
        <v>I Saw Her Standing There,Beatles,1968,Rock,103,44,69,44,79,,,classic rock;psychedelic rock;dance;fast;love;groovy;retro;oldies,3KfbEIOC7YIv90FIfNSZpo</v>
      </c>
    </row>
    <row r="156" spans="1:1" ht="13.5" x14ac:dyDescent="0.25">
      <c r="A156" s="53" t="str">
        <f>IF((Contemporary!D137&lt;&gt;""),(CONCATENATE(Contemporary!D137,",",Contemporary!E137,",",Contemporary!G137,",",Contemporary!H137,",",Contemporary!P137,",",Contemporary!Q137,",",Contemporary!R137,",",Contemporary!T137,",",Contemporary!W137,",",Contemporary!B137,",",SUBSTITUTE(B156,",","%2c"),",",IF(Contemporary!K137&lt;&gt;"",Contemporary!K137,CONCATENATE(Contemporary!H137,";",Contemporary!I137)),",",Spotify!A149)),"")</f>
        <v>I Wanna Hold Your Hand,Beatles,1963,Rock,164,65,64,97,2,,,;dance;fast;love;groovy;retro;oldies,3RNyGLgSvmVRZ7xKUp8Wgd</v>
      </c>
    </row>
    <row r="157" spans="1:1" ht="13.5" x14ac:dyDescent="0.25">
      <c r="A157" s="53" t="str">
        <f>IF((Contemporary!D138&lt;&gt;""),(CONCATENATE(Contemporary!D138,",",Contemporary!E138,",",Contemporary!G138,",",Contemporary!H138,",",Contemporary!P138,",",Contemporary!Q138,",",Contemporary!R138,",",Contemporary!T138,",",Contemporary!W138,",",Contemporary!B138,",",SUBSTITUTE(B157,",","%2c"),",",IF(Contemporary!K138&lt;&gt;"",Contemporary!K138,CONCATENATE(Contemporary!H138,";",Contemporary!I138)),",",Spotify!A150)),"")</f>
        <v>I Will Follow You Into The Dark,Death Cab for Cutie,2006,Rock,110,59,78,52,79,WIP,,french house;electronic;electro;acoustic;love;alternative,2cGxRwrMyEAp8dEbuZaVv6</v>
      </c>
    </row>
    <row r="158" spans="1:1" ht="13.5" x14ac:dyDescent="0.25">
      <c r="A158" s="53" t="str">
        <f>IF((Contemporary!D139&lt;&gt;""),(CONCATENATE(Contemporary!D139,",",Contemporary!E139,",",Contemporary!G139,",",Contemporary!H139,",",Contemporary!P139,",",Contemporary!Q139,",",Contemporary!R139,",",Contemporary!T139,",",Contemporary!W139,",",Contemporary!B139,",",SUBSTITUTE(B158,",","%2c"),",",IF(Contemporary!K139&lt;&gt;"",Contemporary!K139,CONCATENATE(Contemporary!H139,";",Contemporary!I139)),",",Spotify!A151)),"")</f>
        <v>I Will Survive,Gloria Gaynor,1978,Disco,156,72,32,50,94,,,;retro;oldies;dance;groovy;love,6Qyc6fS4DsZjB2mRW9DsQs</v>
      </c>
    </row>
    <row r="159" spans="1:1" ht="13.5" x14ac:dyDescent="0.25">
      <c r="A159" s="53" t="str">
        <f>IF((Contemporary!D140&lt;&gt;""),(CONCATENATE(Contemporary!D140,",",Contemporary!E140,",",Contemporary!G140,",",Contemporary!H140,",",Contemporary!P140,",",Contemporary!Q140,",",Contemporary!R140,",",Contemporary!T140,",",Contemporary!W140,",",Contemporary!B140,",",SUBSTITUTE(B159,",","%2c"),",",IF(Contemporary!K140&lt;&gt;"",Contemporary!K140,CONCATENATE(Contemporary!H140,";",Contemporary!I140)),",",Spotify!A152)),"")</f>
        <v>I Won't Give Up,Jason Mraz,2012,Pop,206,89,38,80,70,,,jangle pop;alternative rock;rock;slow;love;dance;waltz,2oSpQ7QtIKTNFfA08Cy0ku</v>
      </c>
    </row>
    <row r="160" spans="1:1" ht="13.5" x14ac:dyDescent="0.25">
      <c r="A160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160,",","%2c"),",",IF(Contemporary!#REF!&lt;&gt;"",Contemporary!#REF!,CONCATENATE(Contemporary!#REF!,";",Contemporary!#REF!)),",",Spotify!A153)),"")</f>
        <v>#REF!</v>
      </c>
    </row>
    <row r="161" spans="1:1" ht="13.5" x14ac:dyDescent="0.25">
      <c r="A161" s="53" t="str">
        <f>IF((Contemporary!D141&lt;&gt;""),(CONCATENATE(Contemporary!D141,",",Contemporary!E141,",",Contemporary!G141,",",Contemporary!H141,",",Contemporary!P141,",",Contemporary!Q141,",",Contemporary!R141,",",Contemporary!T141,",",Contemporary!W141,",",Contemporary!B141,",",SUBSTITUTE(B161,",","%2c"),",",IF(Contemporary!K141&lt;&gt;"",Contemporary!K141,CONCATENATE(Contemporary!H141,";",Contemporary!I141)),",",Spotify!A154)),"")</f>
        <v>If,Bread,1971,Folk Rock,75,35,35,9,75,WIP,,soft pop;love;slow;oldies;retro;sweet,0HZhYMZOcUzZKSFwPOti6m</v>
      </c>
    </row>
    <row r="162" spans="1:1" ht="13.5" x14ac:dyDescent="0.25">
      <c r="A162" s="53" t="str">
        <f>IF((Contemporary!D142&lt;&gt;""),(CONCATENATE(Contemporary!D142,",",Contemporary!E142,",",Contemporary!G142,",",Contemporary!H142,",",Contemporary!P142,",",Contemporary!Q142,",",Contemporary!R142,",",Contemporary!T142,",",Contemporary!W142,",",Contemporary!B142,",",SUBSTITUTE(B162,",","%2c"),",",IF(Contemporary!K142&lt;&gt;"",Contemporary!K142,CONCATENATE(Contemporary!H142,";",Contemporary!I142)),",",Spotify!A155)),"")</f>
        <v>If I Ain't Got You,Alicia Keys,2003,RnB,168,80,53,97,77,,,rockabilly;rock and roll;jazz;slow;love;waltz,2QfiRTz5Yc8DdShCxG1tB2</v>
      </c>
    </row>
    <row r="163" spans="1:1" ht="13.5" x14ac:dyDescent="0.25">
      <c r="A163" s="53" t="str">
        <f>IF((Contemporary!D143&lt;&gt;""),(CONCATENATE(Contemporary!D143,",",Contemporary!E143,",",Contemporary!G143,",",Contemporary!H143,",",Contemporary!P143,",",Contemporary!Q143,",",Contemporary!R143,",",Contemporary!T143,",",Contemporary!W143,",",Contemporary!B143,",",SUBSTITUTE(B163,",","%2c"),",",IF(Contemporary!K143&lt;&gt;"",Contemporary!K143,CONCATENATE(Contemporary!H143,";",Contemporary!I143)),",",Spotify!A156)),"")</f>
        <v>If I Had A Hammer,Peter Paul and Mary,1962,Folk,111,54,67,81,74,WIP,,country;classic country;fast;dance;groovy;retro;oldies;folk,2SpEHTbUuebeLkgs9QB7Ue</v>
      </c>
    </row>
    <row r="164" spans="1:1" ht="13.5" x14ac:dyDescent="0.25">
      <c r="A164" s="53" t="str">
        <f>IF((Contemporary!D144&lt;&gt;""),(CONCATENATE(Contemporary!D144,",",Contemporary!E144,",",Contemporary!G144,",",Contemporary!H144,",",Contemporary!P144,",",Contemporary!Q144,",",Contemporary!R144,",",Contemporary!T144,",",Contemporary!W144,",",Contemporary!B144,",",SUBSTITUTE(B164,",","%2c"),",",IF(Contemporary!K144&lt;&gt;"",Contemporary!K144,CONCATENATE(Contemporary!H144,";",Contemporary!I144)),",",Spotify!A157)),"")</f>
        <v>I'll Be There For You (Friends theme),Rembrandts,1995,Rock,95,55,78,44,87,,,;dance;fast;love;groovy,1mKXFLRA179hdOWQBwUk9e</v>
      </c>
    </row>
    <row r="165" spans="1:1" ht="13.5" x14ac:dyDescent="0.25">
      <c r="A165" s="53" t="str">
        <f>IF((Contemporary!D145&lt;&gt;""),(CONCATENATE(Contemporary!D145,",",Contemporary!E145,",",Contemporary!G145,",",Contemporary!H145,",",Contemporary!P145,",",Contemporary!Q145,",",Contemporary!R145,",",Contemporary!T145,",",Contemporary!W145,",",Contemporary!B145,",",SUBSTITUTE(B165,",","%2c"),",",IF(Contemporary!K145&lt;&gt;"",Contemporary!K145,CONCATENATE(Contemporary!H145,";",Contemporary!I145)),",",Spotify!A158)),"")</f>
        <v>I'll Have To Say I Love You In A Song,Jim Croce,1973,Folk,151,94,44,48,72,WIP,,new wave;post-punk;gothic rock;darkwave;acoustic;love;slow;groovy;oldies;retro;sweet;folk,4NnWuGQujzWUEg0uZokO5M</v>
      </c>
    </row>
    <row r="166" spans="1:1" ht="13.5" x14ac:dyDescent="0.25">
      <c r="A166" s="53" t="str">
        <f>IF((Contemporary!D146&lt;&gt;""),(CONCATENATE(Contemporary!D146,",",Contemporary!E146,",",Contemporary!G146,",",Contemporary!H146,",",Contemporary!P146,",",Contemporary!Q146,",",Contemporary!R146,",",Contemporary!T146,",",Contemporary!W146,",",Contemporary!B146,",",SUBSTITUTE(B166,",","%2c"),",",IF(Contemporary!K146&lt;&gt;"",Contemporary!K146,CONCATENATE(Contemporary!H146,";",Contemporary!I146)),",",Spotify!A159)),"")</f>
        <v>I'm A Believer,Monkees,1967,Pop,96,32,71,50,47,,,french jazz;vocal jazz;jazz;jazz pop;brazilian jazz;oldies;retro;fast;dance;groovy;love,5Sg1MgUVDNaPoWsKzbjUNi</v>
      </c>
    </row>
    <row r="167" spans="1:1" ht="13.5" x14ac:dyDescent="0.25">
      <c r="A167" s="53" t="str">
        <f>IF((Contemporary!D147&lt;&gt;""),(CONCATENATE(Contemporary!D147,",",Contemporary!E147,",",Contemporary!G147,",",Contemporary!H147,",",Contemporary!P147,",",Contemporary!Q147,",",Contemporary!R147,",",Contemporary!T147,",",Contemporary!W147,",",Contemporary!B147,",",SUBSTITUTE(B167,",","%2c"),",",IF(Contemporary!K147&lt;&gt;"",Contemporary!K147,CONCATENATE(Contemporary!H147,";",Contemporary!I147)),",",Spotify!A160)),"")</f>
        <v>I'm Yours,Jason Mraz,2008,Rock,109,84,64,42,88,,,;love;groovy;dance,7BqBn9nzAq8spo5e7cZ0dJ</v>
      </c>
    </row>
    <row r="168" spans="1:1" ht="13.5" x14ac:dyDescent="0.25">
      <c r="A168" s="53" t="str">
        <f>IF((Contemporary!D148&lt;&gt;""),(CONCATENATE(Contemporary!D148,",",Contemporary!E148,",",Contemporary!G148,",",Contemporary!H148,",",Contemporary!P148,",",Contemporary!Q148,",",Contemporary!R148,",",Contemporary!T148,",",Contemporary!W148,",",Contemporary!B148,",",SUBSTITUTE(B168,",","%2c"),",",IF(Contemporary!K148&lt;&gt;"",Contemporary!K148,CONCATENATE(Contemporary!H148,";",Contemporary!I148)),",",Spotify!A161)),"")</f>
        <v>In My Life,Beatles,1965,Rock,100,2,51,26,36,WIP,,;love;dance;groovy,6GHtyusLtbFDJuFZ8j9Yju</v>
      </c>
    </row>
    <row r="169" spans="1:1" ht="13.5" x14ac:dyDescent="0.25">
      <c r="A169" s="53" t="str">
        <f>IF((Contemporary!D149&lt;&gt;""),(CONCATENATE(Contemporary!D149,",",Contemporary!E149,",",Contemporary!G149,",",Contemporary!H149,",",Contemporary!P149,",",Contemporary!Q149,",",Contemporary!R149,",",Contemporary!T149,",",Contemporary!W149,",",Contemporary!B149,",",SUBSTITUTE(B169,",","%2c"),",",IF(Contemporary!K149&lt;&gt;"",Contemporary!K149,CONCATENATE(Contemporary!H149,";",Contemporary!I149)),",",Spotify!A162)),"")</f>
        <v>In The Summertime,Mungo Jerry,1970,Skiffle,100,75,53,42,86,WIP,,;alternative;dance;groovy;oldies;retro,754kgU5rWscRTfvlsuEwFp</v>
      </c>
    </row>
    <row r="170" spans="1:1" ht="13.5" x14ac:dyDescent="0.25">
      <c r="A170" s="53" t="str">
        <f>IF((Contemporary!D150&lt;&gt;""),(CONCATENATE(Contemporary!D150,",",Contemporary!E150,",",Contemporary!G150,",",Contemporary!H150,",",Contemporary!P150,",",Contemporary!Q150,",",Contemporary!R150,",",Contemporary!T150,",",Contemporary!W150,",",Contemporary!B150,",",SUBSTITUTE(B170,",","%2c"),",",IF(Contemporary!K150&lt;&gt;"",Contemporary!K150,CONCATENATE(Contemporary!H150,";",Contemporary!I150)),",",Spotify!A163)),"")</f>
        <v>Instant Crush,Daft Punk,2013,Disco,100,82,72,96,78,WIP,,;alternative;dance;love,6r8k1vznHrzlEKYxL4dZEe</v>
      </c>
    </row>
    <row r="171" spans="1:1" ht="13.5" x14ac:dyDescent="0.25">
      <c r="A171" s="53" t="str">
        <f>IF((Contemporary!D151&lt;&gt;""),(CONCATENATE(Contemporary!D151,",",Contemporary!E151,",",Contemporary!G151,",",Contemporary!H151,",",Contemporary!P151,",",Contemporary!Q151,",",Contemporary!R151,",",Contemporary!T151,",",Contemporary!W151,",",Contemporary!B151,",",SUBSTITUTE(B171,",","%2c"),",",IF(Contemporary!K151&lt;&gt;"",Contemporary!K151,CONCATENATE(Contemporary!H151,";",Contemporary!I151)),",",Spotify!A164)),"")</f>
        <v>Iris,Goo Goo Dolls,1998,Rock,71,7,58,31,48,,,jazz;swing music;vocal jazz;big band;,1GJCQMFysvt2S9WXSBaWYP</v>
      </c>
    </row>
    <row r="172" spans="1:1" ht="13.5" x14ac:dyDescent="0.25">
      <c r="A172" s="53" t="e">
        <f>IF((Contemporary!D152&lt;&gt;""),(CONCATENATE(Contemporary!D152,",",Contemporary!E152,",",Contemporary!G152,",",Contemporary!H152,",",Contemporary!P152,",",Contemporary!Q152,",",Contemporary!R152,",",Contemporary!T152,",",Contemporary!W152,",",Contemporary!B152,",",SUBSTITUTE(B172,",","%2c"),",",IF(Contemporary!K152&lt;&gt;"",Contemporary!K152,CONCATENATE(Contemporary!H152,";",Contemporary!I152)),",",Spotify!#REF!)),"")</f>
        <v>#REF!</v>
      </c>
    </row>
    <row r="173" spans="1:1" ht="13.5" x14ac:dyDescent="0.25">
      <c r="A173" s="53" t="str">
        <f>IF((Contemporary!D153&lt;&gt;""),(CONCATENATE(Contemporary!D153,",",Contemporary!E153,",",Contemporary!G153,",",Contemporary!H153,",",Contemporary!P153,",",Contemporary!Q153,",",Contemporary!R153,",",Contemporary!T153,",",Contemporary!W153,",",Contemporary!B153,",",SUBSTITUTE(B173,",","%2c"),",",IF(Contemporary!K153&lt;&gt;"",Contemporary!K153,CONCATENATE(Contemporary!H153,";",Contemporary!I153)),",",Spotify!A165)),"")</f>
        <v>Jailhouse Rock,Elvis Presley,1957,Rock 'n' roll,133,28,49,47,51,WIP,,folk;oldies;retro;dance;fast;groovy,0hS2EF1YErlHBS5c97iGxi</v>
      </c>
    </row>
    <row r="174" spans="1:1" ht="13.5" x14ac:dyDescent="0.25">
      <c r="A174" s="53" t="str">
        <f>IF((Contemporary!D154&lt;&gt;""),(CONCATENATE(Contemporary!D154,",",Contemporary!E154,",",Contemporary!G154,",",Contemporary!H154,",",Contemporary!P154,",",Contemporary!Q154,",",Contemporary!R154,",",Contemporary!T154,",",Contemporary!W154,",",Contemporary!B154,",",SUBSTITUTE(B174,",","%2c"),",",IF(Contemporary!K154&lt;&gt;"",Contemporary!K154,CONCATENATE(Contemporary!H154,";",Contemporary!I154)),",",Spotify!A166)),"")</f>
        <v>Jar Of Hearts,Christina Perri,2011,Pop,143,48,66,64,3,WIP,,;alternative;slow;love,4fXGWiVhlOLdhwRDP6pIFG</v>
      </c>
    </row>
    <row r="175" spans="1:1" ht="13.5" x14ac:dyDescent="0.25">
      <c r="A175" s="53" t="str">
        <f>IF((Contemporary!D155&lt;&gt;""),(CONCATENATE(Contemporary!D155,",",Contemporary!E155,",",Contemporary!G155,",",Contemporary!H155,",",Contemporary!P155,",",Contemporary!Q155,",",Contemporary!R155,",",Contemporary!T155,",",Contemporary!W155,",",Contemporary!B155,",",SUBSTITUTE(B175,",","%2c"),",",IF(Contemporary!K155&lt;&gt;"",Contemporary!K155,CONCATENATE(Contemporary!H155,";",Contemporary!I155)),",",Spotify!A167)),"")</f>
        <v>Johnny B Goode,Chuck Berry,1958,Rock 'n' roll,75,55,48,24,76,WIP,,folk pop;dance;fast;oldies;retro;groovy,1KxwZYyzWNyZSRyErj2ojT</v>
      </c>
    </row>
    <row r="176" spans="1:1" ht="13.5" x14ac:dyDescent="0.25">
      <c r="A176" s="53" t="str">
        <f>IF((Contemporary!D156&lt;&gt;""),(CONCATENATE(Contemporary!D156,",",Contemporary!E156,",",Contemporary!G156,",",Contemporary!H156,",",Contemporary!P156,",",Contemporary!Q156,",",Contemporary!R156,",",Contemporary!T156,",",Contemporary!W156,",",Contemporary!B156,",",SUBSTITUTE(B176,",","%2c"),",",IF(Contemporary!K156&lt;&gt;"",Contemporary!K156,CONCATENATE(Contemporary!H156,";",Contemporary!I156)),",",Spotify!A168)),"")</f>
        <v>Jolene,Dolly Parton,1973,Pop,103,88,70,91,82,WIP,,pop;dance;fast;retro;oldies;alternative;acoustic,39LLxExYz6ewLAcYrzQQyP</v>
      </c>
    </row>
    <row r="177" spans="1:1" ht="13.5" x14ac:dyDescent="0.25">
      <c r="A177" s="53" t="str">
        <f>IF((Contemporary!D157&lt;&gt;""),(CONCATENATE(Contemporary!D157,",",Contemporary!E157,",",Contemporary!G157,",",Contemporary!H157,",",Contemporary!P157,",",Contemporary!Q157,",",Contemporary!R157,",",Contemporary!T157,",",Contemporary!W157,",",Contemporary!B157,",",SUBSTITUTE(B177,",","%2c"),",",IF(Contemporary!K157&lt;&gt;"",Contemporary!K157,CONCATENATE(Contemporary!H157,";",Contemporary!I157)),",",Spotify!A169)),"")</f>
        <v>Just Give Me A Reason,Pink (ft. Nate Ruess),2013,Pop,108,53,63,42,74,WIP,,soft pop;neo soul;dance;love;groovy,2YlZnw2ikdb837oKMKjBkW</v>
      </c>
    </row>
    <row r="178" spans="1:1" ht="13.5" x14ac:dyDescent="0.25">
      <c r="A178" s="53" t="str">
        <f>IF((Contemporary!D158&lt;&gt;""),(CONCATENATE(Contemporary!D158,",",Contemporary!E158,",",Contemporary!G158,",",Contemporary!H158,",",Contemporary!P158,",",Contemporary!Q158,",",Contemporary!R158,",",Contemporary!T158,",",Contemporary!W158,",",Contemporary!B158,",",SUBSTITUTE(B178,",","%2c"),",",IF(Contemporary!K158&lt;&gt;"",Contemporary!K158,CONCATENATE(Contemporary!H158,";",Contemporary!I158)),",",Spotify!A170)),"")</f>
        <v>Just Like Heaven,Cure,1987,Pop,75,47,74,59,0,,,blues;blues rock;classic rock;,5nZax8mmBCb4UYnW6ibvTb</v>
      </c>
    </row>
    <row r="179" spans="1:1" ht="13.5" x14ac:dyDescent="0.25">
      <c r="A179" s="53" t="str">
        <f>IF((Contemporary!D159&lt;&gt;""),(CONCATENATE(Contemporary!D159,",",Contemporary!E159,",",Contemporary!G159,",",Contemporary!H159,",",Contemporary!P159,",",Contemporary!Q159,",",Contemporary!R159,",",Contemporary!T159,",",Contemporary!W159,",",Contemporary!B159,",",SUBSTITUTE(B179,",","%2c"),",",IF(Contemporary!K159&lt;&gt;"",Contemporary!K159,CONCATENATE(Contemporary!H159,";",Contemporary!I159)),",",Spotify!A171)),"")</f>
        <v>Just The Two Of Us,Bill Withers,1980,Jazz,100,42,69,64,4,,,;jazz;oldies;retro;love,2BH2OuQBy2NSPf6rzfzold</v>
      </c>
    </row>
    <row r="180" spans="1:1" ht="13.5" x14ac:dyDescent="0.25">
      <c r="A180" s="53" t="str">
        <f>IF((Contemporary!D160&lt;&gt;""),(CONCATENATE(Contemporary!D160,",",Contemporary!E160,",",Contemporary!G160,",",Contemporary!H160,",",Contemporary!P160,",",Contemporary!Q160,",",Contemporary!R160,",",Contemporary!T160,",",Contemporary!W160,",",Contemporary!B160,",",SUBSTITUTE(B180,",","%2c"),",",IF(Contemporary!K160&lt;&gt;"",Contemporary!K160,CONCATENATE(Contemporary!H160,";",Contemporary!I160)),",",Spotify!A172)),"")</f>
        <v>Just The Way You Are,Bruno Mars,2010,Pop,117,91,58,84,77,,,yacht rock;classic rock;soft rock;southern rock;dance;fast;love;groovy,4nXkbcTj3nyww1cHkw5RAP</v>
      </c>
    </row>
    <row r="181" spans="1:1" ht="13.5" x14ac:dyDescent="0.25">
      <c r="A181" s="53" t="str">
        <f>IF((Contemporary!D161&lt;&gt;""),(CONCATENATE(Contemporary!D161,",",Contemporary!E161,",",Contemporary!G161,",",Contemporary!H161,",",Contemporary!P161,",",Contemporary!Q161,",",Contemporary!R161,",",Contemporary!T161,",",Contemporary!W161,",",Contemporary!B161,",",SUBSTITUTE(B181,",","%2c"),",",IF(Contemporary!K161&lt;&gt;"",Contemporary!K161,CONCATENATE(Contemporary!H161,";",Contemporary!I161)),",",Spotify!A173)),"")</f>
        <v>Killing Me Softly,Lori Lieberman,1972,Folk,126,86,67,80,88,WIP,,jangle pop;alternative rock;rock;love;slow;oldies;retro,31AOj9sFz2gM0O3hMARRBx</v>
      </c>
    </row>
    <row r="182" spans="1:1" ht="13.5" x14ac:dyDescent="0.25">
      <c r="A182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182,",","%2c"),",",IF(Contemporary!#REF!&lt;&gt;"",Contemporary!#REF!,CONCATENATE(Contemporary!#REF!,";",Contemporary!#REF!)),",",Spotify!A174)),"")</f>
        <v>#REF!</v>
      </c>
    </row>
    <row r="183" spans="1:1" ht="13.5" x14ac:dyDescent="0.25">
      <c r="A183" s="53" t="str">
        <f>IF((Contemporary!D162&lt;&gt;""),(CONCATENATE(Contemporary!D162,",",Contemporary!E162,",",Contemporary!G162,",",Contemporary!H162,",",Contemporary!P162,",",Contemporary!Q162,",",Contemporary!R162,",",Contemporary!T162,",",Contemporary!W162,",",Contemporary!B162,",",SUBSTITUTE(B183,",","%2c"),",",IF(Contemporary!K162&lt;&gt;"",Contemporary!K162,CONCATENATE(Contemporary!H162,";",Contemporary!I162)),",",Spotify!A175)),"")</f>
        <v>Kiss Me,Sixpence None The Richer,2002,Rock,119,74,62,30,68,WIP,,;dance;groovy;love;acoustic;alternative;sweet,1vrd6UOGamcKNGnSHJQlSt</v>
      </c>
    </row>
    <row r="184" spans="1:1" ht="13.5" x14ac:dyDescent="0.25">
      <c r="A184" s="53" t="str">
        <f>IF((Contemporary!D163&lt;&gt;""),(CONCATENATE(Contemporary!D163,",",Contemporary!E163,",",Contemporary!G163,",",Contemporary!H163,",",Contemporary!P163,",",Contemporary!Q163,",",Contemporary!R163,",",Contemporary!T163,",",Contemporary!W163,",",Contemporary!B163,",",SUBSTITUTE(B184,",","%2c"),",",IF(Contemporary!K163&lt;&gt;"",Contemporary!K163,CONCATENATE(Contemporary!H163,";",Contemporary!I163)),",",Spotify!A176)),"")</f>
        <v>La Isla Bonita,Madonna,1987,Pop,117,68,86,92,86,,,;dance;fast;love;groovy,0laYHRpNTS6i8FXdupHkJ4</v>
      </c>
    </row>
    <row r="185" spans="1:1" ht="13.5" x14ac:dyDescent="0.25">
      <c r="A185" s="53" t="str">
        <f>IF((Contemporary!D164&lt;&gt;""),(CONCATENATE(Contemporary!D164,",",Contemporary!E164,",",Contemporary!G164,",",Contemporary!H164,",",Contemporary!P164,",",Contemporary!Q164,",",Contemporary!R164,",",Contemporary!T164,",",Contemporary!W164,",",Contemporary!B164,",",SUBSTITUTE(B185,",","%2c"),",",IF(Contemporary!K164&lt;&gt;"",Contemporary!K164,CONCATENATE(Contemporary!H164,";",Contemporary!I164)),",",Spotify!A177)),"")</f>
        <v>La Vie En Rose,Louis Armstrong,1950,Jazz,100,38,61,52,92,,,;slow;love;dance;jazz;oldies;retro;acoustic;waltz;sweet,50kpGaPAhYJ3sGmk6vplg0</v>
      </c>
    </row>
    <row r="186" spans="1:1" ht="13.5" x14ac:dyDescent="0.25">
      <c r="A186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186,",","%2c"),",",IF(Contemporary!#REF!&lt;&gt;"",Contemporary!#REF!,CONCATENATE(Contemporary!#REF!,";",Contemporary!#REF!)),",",Spotify!#REF!)),"")</f>
        <v>#REF!</v>
      </c>
    </row>
    <row r="187" spans="1:1" ht="13.5" x14ac:dyDescent="0.25">
      <c r="A187" s="53" t="str">
        <f>IF((Contemporary!D165&lt;&gt;""),(CONCATENATE(Contemporary!D165,",",Contemporary!E165,",",Contemporary!G165,",",Contemporary!H165,",",Contemporary!P165,",",Contemporary!Q165,",",Contemporary!R165,",",Contemporary!T165,",",Contemporary!W165,",",Contemporary!B165,",",SUBSTITUTE(B187,",","%2c"),",",IF(Contemporary!K165&lt;&gt;"",Contemporary!K165,CONCATENATE(Contemporary!H165,";",Contemporary!I165)),",",Spotify!A178)),"")</f>
        <v>Leaving On A Jet Plane,John Denver,1966,Folk,130,41,63,67,69,WIP,,soft pop;acoustic pop;slow;oldies;retro;love;acoustic,0IktbUcnAGrvD03AWnz3Q8</v>
      </c>
    </row>
    <row r="188" spans="1:1" ht="13.5" x14ac:dyDescent="0.25">
      <c r="A188" s="53" t="str">
        <f>IF((Contemporary!D166&lt;&gt;""),(CONCATENATE(Contemporary!D166,",",Contemporary!E166,",",Contemporary!G166,",",Contemporary!H166,",",Contemporary!P166,",",Contemporary!Q166,",",Contemporary!R166,",",Contemporary!T166,",",Contemporary!W166,",",Contemporary!B166,",",SUBSTITUTE(B188,",","%2c"),",",IF(Contemporary!K166&lt;&gt;"",Contemporary!K166,CONCATENATE(Contemporary!H166,";",Contemporary!I166)),",",Spotify!A179)),"")</f>
        <v>Lemon Tree,Fool's Garden,1995,Pop,145,48,69,90,39,,,;alternative;acoustic,4xHXqIwdjXRYJvwT8HNByt</v>
      </c>
    </row>
    <row r="189" spans="1:1" ht="13.5" x14ac:dyDescent="0.25">
      <c r="A189" s="53" t="str">
        <f>IF((Contemporary!D167&lt;&gt;""),(CONCATENATE(Contemporary!D167,",",Contemporary!E167,",",Contemporary!G167,",",Contemporary!H167,",",Contemporary!P167,",",Contemporary!Q167,",",Contemporary!R167,",",Contemporary!T167,",",Contemporary!W167,",",Contemporary!B167,",",SUBSTITUTE(B189,",","%2c"),",",IF(Contemporary!K167&lt;&gt;"",Contemporary!K167,CONCATENATE(Contemporary!H167,";",Contemporary!I167)),",",Spotify!A180)),"")</f>
        <v>Let Her Go,Passenger,2012,Rock,65,17,32,10,72,,,soft pop;alternative;acoustic;love;groovy,5FgPwJ7Nh2FVmIXviKl2VF</v>
      </c>
    </row>
    <row r="190" spans="1:1" ht="13.5" x14ac:dyDescent="0.25">
      <c r="A190" s="53" t="str">
        <f>IF((Contemporary!D168&lt;&gt;""),(CONCATENATE(Contemporary!D168,",",Contemporary!E168,",",Contemporary!G168,",",Contemporary!H168,",",Contemporary!P168,",",Contemporary!Q168,",",Contemporary!R168,",",Contemporary!T168,",",Contemporary!W168,",",Contemporary!B168,",",SUBSTITUTE(B190,",","%2c"),",",IF(Contemporary!K168&lt;&gt;"",Contemporary!K168,CONCATENATE(Contemporary!H168,";",Contemporary!I168)),",",Spotify!A181)),"")</f>
        <v>Levitating,Dua Lipa,2020,Pop,138,75,75,83,81,,,;,2TxCwUlqaOH3TIyJqGgR91</v>
      </c>
    </row>
    <row r="191" spans="1:1" ht="13.5" x14ac:dyDescent="0.25">
      <c r="A191" s="53" t="str">
        <f>IF((Contemporary!D169&lt;&gt;""),(CONCATENATE(Contemporary!D169,",",Contemporary!E169,",",Contemporary!G169,",",Contemporary!H169,",",Contemporary!P169,",",Contemporary!Q169,",",Contemporary!R169,",",Contemporary!T169,",",Contemporary!W169,",",Contemporary!B169,",",SUBSTITUTE(B191,",","%2c"),",",IF(Contemporary!K169&lt;&gt;"",Contemporary!K169,CONCATENATE(Contemporary!H169,";",Contemporary!I169)),",",Spotify!A182)),"")</f>
        <v>Like I'm Gonna Lose You,Meghan Trainor,2015,Soul,98,60,78,68,77,,,;love;slow;groovy;waltz,567UAkWoLBqZ709s3Qcbze</v>
      </c>
    </row>
    <row r="192" spans="1:1" ht="13.5" x14ac:dyDescent="0.25">
      <c r="A192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192,",","%2c"),",",IF(Contemporary!#REF!&lt;&gt;"",Contemporary!#REF!,CONCATENATE(Contemporary!#REF!,";",Contemporary!#REF!)),",",Spotify!A183)),"")</f>
        <v>#REF!</v>
      </c>
    </row>
    <row r="193" spans="1:1" ht="13.5" x14ac:dyDescent="0.25">
      <c r="A193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193,",","%2c"),",",IF(Contemporary!#REF!&lt;&gt;"",Contemporary!#REF!,CONCATENATE(Contemporary!#REF!,";",Contemporary!#REF!)),",",Spotify!A184)),"")</f>
        <v>#REF!</v>
      </c>
    </row>
    <row r="194" spans="1:1" ht="13.5" x14ac:dyDescent="0.25">
      <c r="A194" s="53" t="str">
        <f>IF((Contemporary!D170&lt;&gt;""),(CONCATENATE(Contemporary!D170,",",Contemporary!E170,",",Contemporary!G170,",",Contemporary!H170,",",Contemporary!P170,",",Contemporary!Q170,",",Contemporary!R170,",",Contemporary!T170,",",Contemporary!W170,",",Contemporary!B170,",",SUBSTITUTE(B194,",","%2c"),",",IF(Contemporary!K170&lt;&gt;"",Contemporary!K170,CONCATENATE(Contemporary!H170,";",Contemporary!I170)),",",Spotify!A185)),"")</f>
        <v>Lonely Stranger,Eric Clapton,1992,Rock,117,29,58,67,69,WIP,,classic rock;psychedelic rock;alternative;groovy,5By7Pzgl6TMuVJG168VWzS</v>
      </c>
    </row>
    <row r="195" spans="1:1" ht="13.5" x14ac:dyDescent="0.25">
      <c r="A195" s="53" t="str">
        <f>IF((Contemporary!D171&lt;&gt;""),(CONCATENATE(Contemporary!D171,",",Contemporary!E171,",",Contemporary!G171,",",Contemporary!H171,",",Contemporary!P171,",",Contemporary!Q171,",",Contemporary!R171,",",Contemporary!T171,",",Contemporary!W171,",",Contemporary!B171,",",SUBSTITUTE(B195,",","%2c"),",",IF(Contemporary!K171&lt;&gt;"",Contemporary!K171,CONCATENATE(Contemporary!H171,";",Contemporary!I171)),",",Spotify!A186)),"")</f>
        <v>Long Goodbyes,Kurt Hunter,2009,Jazz,121,70,79,65,72,WIP,,;love;slow;groovy;alternative,3lKN03PDeBnXZS7sDukRBt</v>
      </c>
    </row>
    <row r="196" spans="1:1" ht="13.5" x14ac:dyDescent="0.25">
      <c r="A196" s="53" t="str">
        <f>IF((Contemporary!D172&lt;&gt;""),(CONCATENATE(Contemporary!D172,",",Contemporary!E172,",",Contemporary!G172,",",Contemporary!H172,",",Contemporary!P172,",",Contemporary!Q172,",",Contemporary!R172,",",Contemporary!T172,",",Contemporary!W172,",",Contemporary!B172,",",SUBSTITUTE(B196,",","%2c"),",",IF(Contemporary!K172&lt;&gt;"",Contemporary!K172,CONCATENATE(Contemporary!H172,";",Contemporary!I172)),",",Spotify!A187)),"")</f>
        <v>Long Train Running,Doobie Brothers,1973,Rock,86,3,38,17,60,WIP,,;dance;fast;groovy;love;oldies;retro,1XwAKjAZ1xDZOcuyZoqce4</v>
      </c>
    </row>
    <row r="197" spans="1:1" ht="13.5" x14ac:dyDescent="0.25">
      <c r="A197" s="53" t="str">
        <f>IF((Contemporary!D173&lt;&gt;""),(CONCATENATE(Contemporary!D173,",",Contemporary!E173,",",Contemporary!G173,",",Contemporary!H173,",",Contemporary!P173,",",Contemporary!Q173,",",Contemporary!R173,",",Contemporary!T173,",",Contemporary!W173,",",Contemporary!B173,",",SUBSTITUTE(B197,",","%2c"),",",IF(Contemporary!K173&lt;&gt;"",Contemporary!K173,CONCATENATE(Contemporary!H173,";",Contemporary!I173)),",",Spotify!A188)),"")</f>
        <v>Losing My Religion,R.E.M.,1991,Rock,93,67,73,84,24,,,;alternative;groovy,3g815ZTHx784EBVvzpiHfv</v>
      </c>
    </row>
    <row r="198" spans="1:1" ht="13.5" x14ac:dyDescent="0.25">
      <c r="A198" s="53" t="e">
        <f>IF((Contemporary!D174&lt;&gt;""),(CONCATENATE(Contemporary!D174,",",Contemporary!E174,",",Contemporary!G174,",",Contemporary!H174,",",Contemporary!P174,",",Contemporary!Q174,",",Contemporary!R174,",",Contemporary!T174,",",Contemporary!W174,",",Contemporary!B174,",",SUBSTITUTE(B198,",","%2c"),",",IF(Contemporary!K174&lt;&gt;"",Contemporary!K174,CONCATENATE(Contemporary!H174,";",Contemporary!I174)),",",Spotify!#REF!)),"")</f>
        <v>#REF!</v>
      </c>
    </row>
    <row r="199" spans="1:1" ht="13.5" x14ac:dyDescent="0.25">
      <c r="A199" s="53" t="str">
        <f>IF((Contemporary!D175&lt;&gt;""),(CONCATENATE(Contemporary!D175,",",Contemporary!E175,",",Contemporary!G175,",",Contemporary!H175,",",Contemporary!P175,",",Contemporary!Q175,",",Contemporary!R175,",",Contemporary!T175,",",Contemporary!W175,",",Contemporary!B175,",",SUBSTITUTE(B199,",","%2c"),",",IF(Contemporary!K175&lt;&gt;"",Contemporary!K175,CONCATENATE(Contemporary!H175,";",Contemporary!I175)),",",Spotify!A189)),"")</f>
        <v>Love Story,Taylor Swift,2008,Pop,92,13,63,24,80,,,glam metal;love;dance;acoustic,1gVgkQFOKa8Wc1HYsJtPdH</v>
      </c>
    </row>
    <row r="200" spans="1:1" ht="13.5" x14ac:dyDescent="0.25">
      <c r="A200" s="53" t="str">
        <f>IF((Contemporary!D176&lt;&gt;""),(CONCATENATE(Contemporary!D176,",",Contemporary!E176,",",Contemporary!G176,",",Contemporary!H176,",",Contemporary!P176,",",Contemporary!Q176,",",Contemporary!R176,",",Contemporary!T176,",",Contemporary!W176,",",Contemporary!B176,",",SUBSTITUTE(B200,",","%2c"),",",IF(Contemporary!K176&lt;&gt;"",Contemporary!K176,CONCATENATE(Contemporary!H176,";",Contemporary!I176)),",",Spotify!A190)),"")</f>
        <v>Love You Like A Love Song,Selena Gomez,2011,Pop,128,76,72,62,77,WIP,,pop;love;dance;fast,7LcfRTgAVTs5pQGEQgUEzN</v>
      </c>
    </row>
    <row r="201" spans="1:1" ht="13.5" x14ac:dyDescent="0.25">
      <c r="A201" s="53" t="str">
        <f>IF((Contemporary!D177&lt;&gt;""),(CONCATENATE(Contemporary!D177,",",Contemporary!E177,",",Contemporary!G177,",",Contemporary!H177,",",Contemporary!P177,",",Contemporary!Q177,",",Contemporary!R177,",",Contemporary!T177,",",Contemporary!W177,",",Contemporary!B177,",",SUBSTITUTE(B201,",","%2c"),",",IF(Contemporary!K177&lt;&gt;"",Contemporary!K177,CONCATENATE(Contemporary!H177,";",Contemporary!I177)),",",Spotify!A191)),"")</f>
        <v>Love Yourself,Justin Bieber,2015,Pop,178,34,39,48,83,WIP,,art rock;soft rock;acoustic;alternative,2RlgNHKcydI9sayD2Df2xp</v>
      </c>
    </row>
    <row r="202" spans="1:1" ht="13.5" x14ac:dyDescent="0.25">
      <c r="A202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202,",","%2c"),",",IF(Contemporary!#REF!&lt;&gt;"",Contemporary!#REF!,CONCATENATE(Contemporary!#REF!,";",Contemporary!#REF!)),",",Spotify!A192)),"")</f>
        <v>#REF!</v>
      </c>
    </row>
    <row r="203" spans="1:1" ht="13.5" x14ac:dyDescent="0.25">
      <c r="A203" s="53" t="str">
        <f>IF((Contemporary!D178&lt;&gt;""),(CONCATENATE(Contemporary!D178,",",Contemporary!E178,",",Contemporary!G178,",",Contemporary!H178,",",Contemporary!P178,",",Contemporary!Q178,",",Contemporary!R178,",",Contemporary!T178,",",Contemporary!W178,",",Contemporary!B178,",",SUBSTITUTE(B203,",","%2c"),",",IF(Contemporary!K178&lt;&gt;"",Contemporary!K178,CONCATENATE(Contemporary!H178,";",Contemporary!I178)),",",Spotify!A193)),"")</f>
        <v>Lucky,Jason Mraz,2009,Pop,144,59,49,33,74,,,;alternative;love;acoustic;groovy;sweet,5p0ietGkLNEqx1Z7ijkw5g</v>
      </c>
    </row>
    <row r="204" spans="1:1" ht="13.5" x14ac:dyDescent="0.25">
      <c r="A204" s="53" t="str">
        <f>IF((Contemporary!D179&lt;&gt;""),(CONCATENATE(Contemporary!D179,",",Contemporary!E179,",",Contemporary!G179,",",Contemporary!H179,",",Contemporary!P179,",",Contemporary!Q179,",",Contemporary!R179,",",Contemporary!T179,",",Contemporary!W179,",",Contemporary!B179,",",SUBSTITUTE(B204,",","%2c"),",",IF(Contemporary!K179&lt;&gt;"",Contemporary!K179,CONCATENATE(Contemporary!H179,";",Contemporary!I179)),",",Spotify!A194)),"")</f>
        <v>Lucky Lips,Cliff Richard,1957,RnB,176,34,65,95,73,WIP,,yacht rock;classic rock;soft rock;oldies;retro;love;dance;fast;groovy;sweet,19Shlms2uTnOjIUg50TXzd</v>
      </c>
    </row>
    <row r="205" spans="1:1" ht="13.5" x14ac:dyDescent="0.25">
      <c r="A205" s="53" t="str">
        <f>IF((Contemporary!D180&lt;&gt;""),(CONCATENATE(Contemporary!D180,",",Contemporary!E180,",",Contemporary!G180,",",Contemporary!H180,",",Contemporary!P180,",",Contemporary!Q180,",",Contemporary!R180,",",Contemporary!T180,",",Contemporary!W180,",",Contemporary!B180,",",SUBSTITUTE(B205,",","%2c"),",",IF(Contemporary!K180&lt;&gt;"",Contemporary!K180,CONCATENATE(Contemporary!H180,";",Contemporary!I180)),",",Spotify!A195)),"")</f>
        <v>Make You Feel My Love,Adele,1997,Rock,124,69,83,85,79,,,singer-songwriter;slow;love;acoustic;alternative;oldies;retro,4T6FWA703h6H7zk1FoSARw</v>
      </c>
    </row>
    <row r="206" spans="1:1" ht="13.5" x14ac:dyDescent="0.25">
      <c r="A206" s="53" t="str">
        <f>IF((Contemporary!D181&lt;&gt;""),(CONCATENATE(Contemporary!D181,",",Contemporary!E181,",",Contemporary!G181,",",Contemporary!H181,",",Contemporary!P181,",",Contemporary!Q181,",",Contemporary!R181,",",Contemporary!T181,",",Contemporary!W181,",",Contemporary!B181,",",SUBSTITUTE(B206,",","%2c"),",",IF(Contemporary!K181&lt;&gt;"",Contemporary!K181,CONCATENATE(Contemporary!H181,";",Contemporary!I181)),",",Spotify!A196)),"")</f>
        <v>Mamma Mia,ABBA,1975,Pop,150,74,75,85,69,,,;oldies;retro;dance;jive;groovy,265Anh9hGoozFigjUVLUeD</v>
      </c>
    </row>
    <row r="207" spans="1:1" ht="13.5" x14ac:dyDescent="0.25">
      <c r="A207" s="53" t="str">
        <f>IF((Contemporary!D182&lt;&gt;""),(CONCATENATE(Contemporary!D182,",",Contemporary!E182,",",Contemporary!G182,",",Contemporary!H182,",",Contemporary!P182,",",Contemporary!Q182,",",Contemporary!R182,",",Contemporary!T182,",",Contemporary!W182,",",Contemporary!B182,",",SUBSTITUTE(B207,",","%2c"),",",IF(Contemporary!K182&lt;&gt;"",Contemporary!K182,CONCATENATE(Contemporary!H182,";",Contemporary!I182)),",",Spotify!A197)),"")</f>
        <v>Maria Maria,Santana,1999,Rock,157,34,19,22,60,WIP,,progressive rock;art rock;baroque pop;psychedelic rock;blues;groovy;dance;love,5w1ingzqrsJka9nlnEFB64</v>
      </c>
    </row>
    <row r="208" spans="1:1" ht="13.5" x14ac:dyDescent="0.25">
      <c r="A208" s="53" t="str">
        <f>IF((Contemporary!D183&lt;&gt;""),(CONCATENATE(Contemporary!D183,",",Contemporary!E183,",",Contemporary!G183,",",Contemporary!H183,",",Contemporary!P183,",",Contemporary!Q183,",",Contemporary!R183,",",Contemporary!T183,",",Contemporary!W183,",",Contemporary!B183,",",SUBSTITUTE(B208,",","%2c"),",",IF(Contemporary!K183&lt;&gt;"",Contemporary!K183,CONCATENATE(Contemporary!H183,";",Contemporary!I183)),",",Spotify!A198)),"")</f>
        <v>Mary Jane's Last Dance,Tom Petty and The Heartbreakers,1993,Rock,177,37,43,65,71,WIP,,classic rock;psychedelic rock;groovy;dance;slow,1H7gMYGykdtwZOV6s1N0by</v>
      </c>
    </row>
    <row r="209" spans="1:1" ht="13.5" x14ac:dyDescent="0.25">
      <c r="A209" s="53" t="str">
        <f>IF((Contemporary!D184&lt;&gt;""),(CONCATENATE(Contemporary!D184,",",Contemporary!E184,",",Contemporary!G184,",",Contemporary!H184,",",Contemporary!P184,",",Contemporary!Q184,",",Contemporary!R184,",",Contemporary!T184,",",Contemporary!W184,",",Contemporary!B184,",",SUBSTITUTE(B209,",","%2c"),",",IF(Contemporary!K184&lt;&gt;"",Contemporary!K184,CONCATENATE(Contemporary!H184,";",Contemporary!I184)),",",Spotify!A199)),"")</f>
        <v>Mi Chico Latino,Geri Halliwell,1999,Dance,110,87,49,21,90,WIP,,nu metal;rap metal;rock;alternative metal;groovy;dance;fast;love,2nLtzopw4rPReszdYBJU6h</v>
      </c>
    </row>
    <row r="210" spans="1:1" ht="13.5" x14ac:dyDescent="0.25">
      <c r="A210" s="53" t="str">
        <f>IF((Contemporary!D185&lt;&gt;""),(CONCATENATE(Contemporary!D185,",",Contemporary!E185,",",Contemporary!G185,",",Contemporary!H185,",",Contemporary!P185,",",Contemporary!Q185,",",Contemporary!R185,",",Contemporary!T185,",",Contemporary!W185,",",Contemporary!B185,",",SUBSTITUTE(B210,",","%2c"),",",IF(Contemporary!K185&lt;&gt;"",Contemporary!K185,CONCATENATE(Contemporary!H185,";",Contemporary!I185)),",",Spotify!A200)),"")</f>
        <v>Michelle,Beatles,1965,Pop,179,86,60,71,57,,,latin pop;love;groovy;oldies;retro;acoustic,36YNa8joLwu9yor2TkZbIY</v>
      </c>
    </row>
    <row r="211" spans="1:1" ht="13.5" x14ac:dyDescent="0.25">
      <c r="A211" s="53" t="str">
        <f>IF((Contemporary!D186&lt;&gt;""),(CONCATENATE(Contemporary!D186,",",Contemporary!E186,",",Contemporary!G186,",",Contemporary!H186,",",Contemporary!P186,",",Contemporary!Q186,",",Contemporary!R186,",",Contemporary!T186,",",Contemporary!W186,",",Contemporary!B186,",",SUBSTITUTE(B211,",","%2c"),",",IF(Contemporary!K186&lt;&gt;"",Contemporary!K186,CONCATENATE(Contemporary!H186,";",Contemporary!I186)),",",Spotify!A201)),"")</f>
        <v>Money Money Money,ABBA,1976,Pop,181,53,39,33,78,,,rock;oldies;retro;dance;jive;fast,3G69vJMWsX6ZohTykad2AU</v>
      </c>
    </row>
    <row r="212" spans="1:1" ht="13.5" x14ac:dyDescent="0.25">
      <c r="A212" s="53" t="str">
        <f>IF((Contemporary!D187&lt;&gt;""),(CONCATENATE(Contemporary!D187,",",Contemporary!E187,",",Contemporary!G187,",",Contemporary!H187,",",Contemporary!P187,",",Contemporary!Q187,",",Contemporary!R187,",",Contemporary!T187,",",Contemporary!W187,",",Contemporary!B187,",",SUBSTITUTE(B212,",","%2c"),",",IF(Contemporary!K187&lt;&gt;"",Contemporary!K187,CONCATENATE(Contemporary!H187,";",Contemporary!I187)),",",Spotify!A202)),"")</f>
        <v>Moon River,Various,1961,Easy Listening,95,72,68,85,67,WIP,,;love;slow;oldies;retro;waltz,2W5acFzXf5FrktecuD30Or</v>
      </c>
    </row>
    <row r="213" spans="1:1" ht="13.5" x14ac:dyDescent="0.25">
      <c r="A213" s="53" t="e">
        <f>IF((Contemporary!D188&lt;&gt;""),(CONCATENATE(Contemporary!D188,",",Contemporary!E188,",",Contemporary!G188,",",Contemporary!H188,",",Contemporary!P188,",",Contemporary!Q188,",",Contemporary!R188,",",Contemporary!T188,",",Contemporary!W188,",",Contemporary!B188,",",SUBSTITUTE(B213,",","%2c"),",",IF(Contemporary!K188&lt;&gt;"",Contemporary!K188,CONCATENATE(Contemporary!H188,";",Contemporary!I188)),",",Spotify!#REF!)),"")</f>
        <v>#REF!</v>
      </c>
    </row>
    <row r="214" spans="1:1" ht="13.5" x14ac:dyDescent="0.25">
      <c r="A214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214,",","%2c"),",",IF(Contemporary!#REF!&lt;&gt;"",Contemporary!#REF!,CONCATENATE(Contemporary!#REF!,";",Contemporary!#REF!)),",",Spotify!A203)),"")</f>
        <v>#REF!</v>
      </c>
    </row>
    <row r="215" spans="1:1" ht="13.5" x14ac:dyDescent="0.25">
      <c r="A215" s="53" t="e">
        <f>IF((Contemporary!D189&lt;&gt;""),(CONCATENATE(Contemporary!D189,",",Contemporary!E189,",",Contemporary!G189,",",Contemporary!H189,",",Contemporary!P189,",",Contemporary!Q189,",",Contemporary!R189,",",Contemporary!T189,",",Contemporary!W189,",",Contemporary!B189,",",SUBSTITUTE(B215,",","%2c"),",",IF(Contemporary!K189&lt;&gt;"",Contemporary!K189,CONCATENATE(Contemporary!H189,";",Contemporary!I189)),",",Spotify!#REF!)),"")</f>
        <v>#REF!</v>
      </c>
    </row>
    <row r="216" spans="1:1" ht="13.5" x14ac:dyDescent="0.25">
      <c r="A216" s="53" t="str">
        <f>IF((Contemporary!D190&lt;&gt;""),(CONCATENATE(Contemporary!D190,",",Contemporary!E190,",",Contemporary!G190,",",Contemporary!H190,",",Contemporary!P190,",",Contemporary!Q190,",",Contemporary!R190,",",Contemporary!T190,",",Contemporary!W190,",",Contemporary!B190,",",SUBSTITUTE(B216,",","%2c"),",",IF(Contemporary!K190&lt;&gt;"",Contemporary!K190,CONCATENATE(Contemporary!H190,";",Contemporary!I190)),",",Spotify!A204)),"")</f>
        <v>Moves Like Jagger,Maroon 5,2010,Pop,117,12,35,32,33,,,adult standards;,0CdsYCCygXgNYk7l1ULMht</v>
      </c>
    </row>
    <row r="217" spans="1:1" ht="13.5" x14ac:dyDescent="0.25">
      <c r="A217" s="53" t="str">
        <f>IF((Contemporary!D191&lt;&gt;""),(CONCATENATE(Contemporary!D191,",",Contemporary!E191,",",Contemporary!G191,",",Contemporary!H191,",",Contemporary!P191,",",Contemporary!Q191,",",Contemporary!R191,",",Contemporary!T191,",",Contemporary!W191,",",Contemporary!B191,",",SUBSTITUTE(B217,",","%2c"),",",IF(Contemporary!K191&lt;&gt;"",Contemporary!K191,CONCATENATE(Contemporary!H191,";",Contemporary!I191)),",",Spotify!A205)),"")</f>
        <v>Mr Blue Sky,Electric Light Orchestra,1977,Rock,140,59,45,21,86,WIP,,;groovy;oldies;retro,6nek1Nin9q48AVZcWs9e9D</v>
      </c>
    </row>
    <row r="218" spans="1:1" ht="13.5" x14ac:dyDescent="0.25">
      <c r="A218" s="53" t="str">
        <f>IF((Contemporary!D192&lt;&gt;""),(CONCATENATE(Contemporary!D192,",",Contemporary!E192,",",Contemporary!G192,",",Contemporary!H192,",",Contemporary!P192,",",Contemporary!Q192,",",Contemporary!R192,",",Contemporary!T192,",",Contemporary!W192,",",Contemporary!B192,",",SUBSTITUTE(B218,",","%2c"),",",IF(Contemporary!K192&lt;&gt;"",Contemporary!K192,CONCATENATE(Contemporary!H192,";",Contemporary!I192)),",",Spotify!A206)),"")</f>
        <v>Mr Brightside,Killers,2003,Rock,175,62,66,96,75,,,motown;classic soul;soul;dance;fast;groovy;love,0Dm43YLUlGdePpSbI1ct8h</v>
      </c>
    </row>
    <row r="219" spans="1:1" ht="13.5" x14ac:dyDescent="0.25">
      <c r="A219" s="53" t="str">
        <f>IF((Contemporary!D193&lt;&gt;""),(CONCATENATE(Contemporary!D193,",",Contemporary!E193,",",Contemporary!G193,",",Contemporary!H193,",",Contemporary!P193,",",Contemporary!Q193,",",Contemporary!R193,",",Contemporary!T193,",",Contemporary!W193,",",Contemporary!B193,",",SUBSTITUTE(B219,",","%2c"),",",IF(Contemporary!K193&lt;&gt;"",Contemporary!K193,CONCATENATE(Contemporary!H193,";",Contemporary!I193)),",",Spotify!A207)),"")</f>
        <v>My Love,Westlife,2000,Pop,95,45,60,17,89,WIP,,soft pop;love;slow;dance,0tgVpDi06FyKpA1z0VMD4v</v>
      </c>
    </row>
    <row r="220" spans="1:1" ht="13.5" x14ac:dyDescent="0.25">
      <c r="A220" s="53" t="str">
        <f>IF((Contemporary!D194&lt;&gt;""),(CONCATENATE(Contemporary!D194,",",Contemporary!E194,",",Contemporary!G194,",",Contemporary!H194,",",Contemporary!P194,",",Contemporary!Q194,",",Contemporary!R194,",",Contemporary!T194,",",Contemporary!W194,",",Contemporary!B194,",",SUBSTITUTE(B220,",","%2c"),",",IF(Contemporary!K194&lt;&gt;"",Contemporary!K194,CONCATENATE(Contemporary!H194,";",Contemporary!I194)),",",Spotify!A208)),"")</f>
        <v>Never Going Back Again,Fleetwood Mac,1977,Folk Rock,123,23,58,49,0,WIP,,folk rock;singer-songwriter;alternative;acoustic;oldies;retro;love;folk,25P9qtKtJUQXcWjM4zQfA5</v>
      </c>
    </row>
    <row r="221" spans="1:1" ht="13.5" x14ac:dyDescent="0.25">
      <c r="A221" s="53" t="str">
        <f>IF((Contemporary!D195&lt;&gt;""),(CONCATENATE(Contemporary!D195,",",Contemporary!E195,",",Contemporary!G195,",",Contemporary!H195,",",Contemporary!P195,",",Contemporary!Q195,",",Contemporary!R195,",",Contemporary!T195,",",Contemporary!W195,",",Contemporary!B195,",",SUBSTITUTE(B221,",","%2c"),",",IF(Contemporary!K195&lt;&gt;"",Contemporary!K195,CONCATENATE(Contemporary!H195,";",Contemporary!I195)),",",Spotify!A209)),"")</f>
        <v>New Light,John Mayer,2011,Rock,178,55,33,43,85,,,soft rock;dance;fast;love;acoustic,70C4NyhjD5OZUMzvWZ3njJ</v>
      </c>
    </row>
    <row r="222" spans="1:1" ht="13.5" x14ac:dyDescent="0.25">
      <c r="A222" s="53" t="str">
        <f>IF((Contemporary!D196&lt;&gt;""),(CONCATENATE(Contemporary!D196,",",Contemporary!E196,",",Contemporary!G196,",",Contemporary!H196,",",Contemporary!P196,",",Contemporary!Q196,",",Contemporary!R196,",",Contemporary!T196,",",Contemporary!W196,",",Contemporary!B196,",",SUBSTITUTE(B222,",","%2c"),",",IF(Contemporary!K196&lt;&gt;"",Contemporary!K196,CONCATENATE(Contemporary!H196,";",Contemporary!I196)),",",Spotify!A210)),"")</f>
        <v>New Shoes,Paolo Nutini,2006,Pop,135,71,49,91,0,WIP,,doo-wop;dance;fast;love,6c9Zgl3NolMeAPJnW779eM</v>
      </c>
    </row>
    <row r="223" spans="1:1" ht="13.5" x14ac:dyDescent="0.25">
      <c r="A223" s="53" t="str">
        <f>IF((Contemporary!D197&lt;&gt;""),(CONCATENATE(Contemporary!D197,",",Contemporary!E197,",",Contemporary!G197,",",Contemporary!H197,",",Contemporary!P197,",",Contemporary!Q197,",",Contemporary!R197,",",Contemporary!T197,",",Contemporary!W197,",",Contemporary!B197,",",SUBSTITUTE(B223,",","%2c"),",",IF(Contemporary!K197&lt;&gt;"",Contemporary!K197,CONCATENATE(Contemporary!H197,";",Contemporary!I197)),",",Spotify!A211)),"")</f>
        <v>Nights In White Satin,Moody Blues,1967,Rock,127,58,61,95,69,WIP,,rockabilly;slow;oldies;retro;love;acoustic;waltz,52HAHV1j93s5B8GoTNI7DJ</v>
      </c>
    </row>
    <row r="224" spans="1:1" ht="13.5" x14ac:dyDescent="0.25">
      <c r="A224" s="53" t="str">
        <f>IF((Contemporary!D198&lt;&gt;""),(CONCATENATE(Contemporary!D198,",",Contemporary!E198,",",Contemporary!G198,",",Contemporary!H198,",",Contemporary!P198,",",Contemporary!Q198,",",Contemporary!R198,",",Contemporary!T198,",",Contemporary!W198,",",Contemporary!B198,",",SUBSTITUTE(B224,",","%2c"),",",IF(Contemporary!K198&lt;&gt;"",Contemporary!K198,CONCATENATE(Contemporary!H198,";",Contemporary!I198)),",",Spotify!A212)),"")</f>
        <v>Norwegian Wood,Beatles,1965,Folk Rock,122,38,62,89,24,,,bossa nova;brazilian jazz;latin jazz;oldies;retro;acoustic;love;groovy;folk;waltz,264Iu7TFoRzdFpGcmFc884</v>
      </c>
    </row>
    <row r="225" spans="1:1" ht="13.5" x14ac:dyDescent="0.25">
      <c r="A225" s="53" t="str">
        <f>IF((Contemporary!D199&lt;&gt;""),(CONCATENATE(Contemporary!D199,",",Contemporary!E199,",",Contemporary!G199,",",Contemporary!H199,",",Contemporary!P199,",",Contemporary!Q199,",",Contemporary!R199,",",Contemporary!T199,",",Contemporary!W199,",",Contemporary!B199,",",SUBSTITUTE(B225,",","%2c"),",",IF(Contemporary!K199&lt;&gt;"",Contemporary!K199,CONCATENATE(Contemporary!H199,";",Contemporary!I199)),",",Spotify!A213)),"")</f>
        <v>Numb,Linkin Park,2003,Metal,175,83,64,68,68,,,;alternative;acoustic;groovy,5mvKuE9Lf9ARVXVXA32kK9</v>
      </c>
    </row>
    <row r="226" spans="1:1" ht="13.5" x14ac:dyDescent="0.25">
      <c r="A226" s="53" t="str">
        <f>IF((Contemporary!D200&lt;&gt;""),(CONCATENATE(Contemporary!D200,",",Contemporary!E200,",",Contemporary!G200,",",Contemporary!H200,",",Contemporary!P200,",",Contemporary!Q200,",",Contemporary!R200,",",Contemporary!T200,",",Contemporary!W200,",",Contemporary!B200,",",SUBSTITUTE(B226,",","%2c"),",",IF(Contemporary!K200&lt;&gt;"",Contemporary!K200,CONCATENATE(Contemporary!H200,";",Contemporary!I200)),",",Spotify!A214)),"")</f>
        <v>Objection,Shakira,2002,Pop,176,59,37,84,65,WIP,,;dance;fast;love;groovy,03MOcbkkoNLjP0G91iODSB</v>
      </c>
    </row>
    <row r="227" spans="1:1" ht="13.5" x14ac:dyDescent="0.25">
      <c r="A227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227,",","%2c"),",",IF(Contemporary!#REF!&lt;&gt;"",Contemporary!#REF!,CONCATENATE(Contemporary!#REF!,";",Contemporary!#REF!)),",",Spotify!A215)),"")</f>
        <v>#REF!</v>
      </c>
    </row>
    <row r="228" spans="1:1" ht="13.5" x14ac:dyDescent="0.25">
      <c r="A228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228,",","%2c"),",",IF(Contemporary!#REF!&lt;&gt;"",Contemporary!#REF!,CONCATENATE(Contemporary!#REF!,";",Contemporary!#REF!)),",",Spotify!A216)),"")</f>
        <v>#REF!</v>
      </c>
    </row>
    <row r="229" spans="1:1" ht="13.5" x14ac:dyDescent="0.25">
      <c r="A229" s="53" t="str">
        <f>IF((Contemporary!D201&lt;&gt;""),(CONCATENATE(Contemporary!D201,",",Contemporary!E201,",",Contemporary!G201,",",Contemporary!H201,",",Contemporary!P201,",",Contemporary!Q201,",",Contemporary!R201,",",Contemporary!T201,",",Contemporary!W201,",",Contemporary!B201,",",SUBSTITUTE(B229,",","%2c"),",",IF(Contemporary!K201&lt;&gt;"",Contemporary!K201,CONCATENATE(Contemporary!H201,";",Contemporary!I201)),",",Spotify!A217)),"")</f>
        <v>One,U2,1991,Pop,126,89,64,97,68,WIP,,disco;,5jkFvD4UJrmdoezzT1FRoP</v>
      </c>
    </row>
    <row r="230" spans="1:1" ht="13.5" x14ac:dyDescent="0.25">
      <c r="A230" s="53" t="str">
        <f>IF((Contemporary!D202&lt;&gt;""),(CONCATENATE(Contemporary!D202,",",Contemporary!E202,",",Contemporary!G202,",",Contemporary!H202,",",Contemporary!P202,",",Contemporary!Q202,",",Contemporary!R202,",",Contemporary!T202,",",Contemporary!W202,",",Contemporary!B202,",",SUBSTITUTE(B230,",","%2c"),",",IF(Contemporary!K202&lt;&gt;"",Contemporary!K202,CONCATENATE(Contemporary!H202,";",Contemporary!I202)),",",Spotify!A218)),"")</f>
        <v>One Love,Blue,2002,Pop,172,54,53,73,62,,,;groovy;dance;acoustic;alternative,6MDTpYxPFL0wtFd0pjfKws</v>
      </c>
    </row>
    <row r="231" spans="1:1" ht="13.5" x14ac:dyDescent="0.25">
      <c r="A231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231,",","%2c"),",",IF(Contemporary!#REF!&lt;&gt;"",Contemporary!#REF!,CONCATENATE(Contemporary!#REF!,";",Contemporary!#REF!)),",",Spotify!A219)),"")</f>
        <v>#REF!</v>
      </c>
    </row>
    <row r="232" spans="1:1" ht="13.5" x14ac:dyDescent="0.25">
      <c r="A232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232,",","%2c"),",",IF(Contemporary!#REF!&lt;&gt;"",Contemporary!#REF!,CONCATENATE(Contemporary!#REF!,";",Contemporary!#REF!)),",",Spotify!A220)),"")</f>
        <v>#REF!</v>
      </c>
    </row>
    <row r="233" spans="1:1" ht="13.5" x14ac:dyDescent="0.25">
      <c r="A233" s="53" t="e">
        <f>IF((Contemporary!D203&lt;&gt;""),(CONCATENATE(Contemporary!D203,",",Contemporary!E203,",",Contemporary!G203,",",Contemporary!H203,",",Contemporary!P203,",",Contemporary!Q203,",",Contemporary!R203,",",Contemporary!T203,",",Contemporary!W203,",",Contemporary!B203,",",SUBSTITUTE(B233,",","%2c"),",",IF(Contemporary!K203&lt;&gt;"",Contemporary!K203,CONCATENATE(Contemporary!H203,";",Contemporary!I203)),",",Spotify!#REF!)),"")</f>
        <v>#REF!</v>
      </c>
    </row>
    <row r="234" spans="1:1" ht="13.5" x14ac:dyDescent="0.25">
      <c r="A234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234,",","%2c"),",",IF(Contemporary!#REF!&lt;&gt;"",Contemporary!#REF!,CONCATENATE(Contemporary!#REF!,";",Contemporary!#REF!)),",",Spotify!A221)),"")</f>
        <v>#REF!</v>
      </c>
    </row>
    <row r="235" spans="1:1" ht="13.5" x14ac:dyDescent="0.25">
      <c r="A235" s="53" t="str">
        <f>IF((Contemporary!D204&lt;&gt;""),(CONCATENATE(Contemporary!D204,",",Contemporary!E204,",",Contemporary!G204,",",Contemporary!H204,",",Contemporary!P204,",",Contemporary!Q204,",",Contemporary!R204,",",Contemporary!T204,",",Contemporary!W204,",",Contemporary!B204,",",SUBSTITUTE(B235,",","%2c"),",",IF(Contemporary!K204&lt;&gt;"",Contemporary!K204,CONCATENATE(Contemporary!H204,";",Contemporary!I204)),",",Spotify!A222)),"")</f>
        <v>Paper Roses,Anita Bryant,1960,Pop,144,91,62,69,67,WIP,,post-grunge;rock;oldies;retro;love;sweet,6n9yCXvLhnYMgJIiIcMu7D</v>
      </c>
    </row>
    <row r="236" spans="1:1" ht="13.5" x14ac:dyDescent="0.25">
      <c r="A236" s="53" t="str">
        <f>IF((Contemporary!D205&lt;&gt;""),(CONCATENATE(Contemporary!D205,",",Contemporary!E205,",",Contemporary!G205,",",Contemporary!H205,",",Contemporary!P205,",",Contemporary!Q205,",",Contemporary!R205,",",Contemporary!T205,",",Contemporary!W205,",",Contemporary!B205,",",SUBSTITUTE(B236,",","%2c"),",",IF(Contemporary!K205&lt;&gt;"",Contemporary!K205,CONCATENATE(Contemporary!H205,";",Contemporary!I205)),",",Spotify!A223)),"")</f>
        <v>Paradise,Coldplay,2011,Rock,105,77,73,51,80,WIP,,soft pop;alternative;love;acoustic;dance,1c8gk2PeTE04A1pIDH9YMk</v>
      </c>
    </row>
    <row r="237" spans="1:1" ht="13.5" x14ac:dyDescent="0.25">
      <c r="A237" s="53" t="str">
        <f>IF((Contemporary!D206&lt;&gt;""),(CONCATENATE(Contemporary!D206,",",Contemporary!E206,",",Contemporary!G206,",",Contemporary!H206,",",Contemporary!P206,",",Contemporary!Q206,",",Contemporary!R206,",",Contemporary!T206,",",Contemporary!W206,",",Contemporary!B206,",",SUBSTITUTE(B237,",","%2c"),",",IF(Contemporary!K206&lt;&gt;"",Contemporary!K206,CONCATENATE(Contemporary!H206,";",Contemporary!I206)),",",Spotify!A224)),"")</f>
        <v>Part-Time Lover,Stevie Wonder,1985,RnB,85,43,67,34,81,WIP,,;dance;jive,2dLLR6qlu5UJ5gk0dKz0h3</v>
      </c>
    </row>
    <row r="238" spans="1:1" ht="13.5" x14ac:dyDescent="0.25">
      <c r="A238" s="53" t="str">
        <f>IF((Contemporary!D207&lt;&gt;""),(CONCATENATE(Contemporary!D207,",",Contemporary!E207,",",Contemporary!G207,",",Contemporary!H207,",",Contemporary!P207,",",Contemporary!Q207,",",Contemporary!R207,",",Contemporary!T207,",",Contemporary!W207,",",Contemporary!B207,",",SUBSTITUTE(B238,",","%2c"),",",IF(Contemporary!K207&lt;&gt;"",Contemporary!K207,CONCATENATE(Contemporary!H207,";",Contemporary!I207)),",",Spotify!A225)),"")</f>
        <v>Perfect,Ed Sheeran,2017,Pop,107,27,61,61,41,,,;alternative;acoustic;love;slow,5PYEBQrRHWoMuRr5Ers9vR</v>
      </c>
    </row>
    <row r="239" spans="1:1" ht="13.5" x14ac:dyDescent="0.25">
      <c r="A239" s="53" t="str">
        <f>IF((Contemporary!D208&lt;&gt;""),(CONCATENATE(Contemporary!D208,",",Contemporary!E208,",",Contemporary!G208,",",Contemporary!H208,",",Contemporary!P208,",",Contemporary!Q208,",",Contemporary!R208,",",Contemporary!T208,",",Contemporary!W208,",",Contemporary!B208,",",SUBSTITUTE(B239,",","%2c"),",",IF(Contemporary!K208&lt;&gt;"",Contemporary!K208,CONCATENATE(Contemporary!H208,";",Contemporary!I208)),",",Spotify!A226)),"")</f>
        <v>Photographs And Memories,Jim Croce,1972,Rock,117,54,76,75,80,WIP,,;alternative;acoustic;oldies;retro;love,0TK2YIli7K1leLovkQiNik</v>
      </c>
    </row>
    <row r="240" spans="1:1" ht="13.5" x14ac:dyDescent="0.25">
      <c r="A240" s="53" t="str">
        <f>IF((Contemporary!D209&lt;&gt;""),(CONCATENATE(Contemporary!D209,",",Contemporary!E209,",",Contemporary!G209,",",Contemporary!H209,",",Contemporary!P209,",",Contemporary!Q209,",",Contemporary!R209,",",Contemporary!T209,",",Contemporary!W209,",",Contemporary!B209,",",SUBSTITUTE(B240,",","%2c"),",",IF(Contemporary!K209&lt;&gt;"",Contemporary!K209,CONCATENATE(Contemporary!H209,";",Contemporary!I209)),",",Spotify!A227)),"")</f>
        <v>Piano Man,Billy Joel,1973,Pop,126,83,70,98,76,WIP,,funk;disco;oldies;retro;acoustic;groovy;waltz,2grjqo0Frpf2okIBiifQKs</v>
      </c>
    </row>
    <row r="241" spans="1:1" ht="13.5" x14ac:dyDescent="0.25">
      <c r="A241" s="53" t="str">
        <f>IF((Contemporary!D210&lt;&gt;""),(CONCATENATE(Contemporary!D210,",",Contemporary!E210,",",Contemporary!G210,",",Contemporary!H210,",",Contemporary!P210,",",Contemporary!Q210,",",Contemporary!R210,",",Contemporary!T210,",",Contemporary!W210,",",Contemporary!B210,",",SUBSTITUTE(B241,",","%2c"),",",IF(Contemporary!K210&lt;&gt;"",Contemporary!K210,CONCATENATE(Contemporary!H210,";",Contemporary!I210)),",",Spotify!A228)),"")</f>
        <v>Poetry In Motion,Johnny Tillotson,1960,Doo-wop,124,45,74,28,86,WIP,,garage rock;blues rock;rock;alternative rock;oldies;retro;love;acoustic;groovy;sweet,3dPQuX8Gs42Y7b454ybpMR</v>
      </c>
    </row>
    <row r="242" spans="1:1" ht="13.5" x14ac:dyDescent="0.25">
      <c r="A242" s="53" t="str">
        <f>IF((Contemporary!D211&lt;&gt;""),(CONCATENATE(Contemporary!D211,",",Contemporary!E211,",",Contemporary!G211,",",Contemporary!H211,",",Contemporary!P211,",",Contemporary!Q211,",",Contemporary!R211,",",Contemporary!T211,",",Contemporary!W211,",",Contemporary!B211,",",SUBSTITUTE(B242,",","%2c"),",",IF(Contemporary!K211&lt;&gt;"",Contemporary!K211,CONCATENATE(Contemporary!H211,";",Contemporary!I211)),",",Spotify!A229)),"")</f>
        <v>Pretty Woman,Roy Orbison,1964,Rock,84,37,54,24,79,WIP,,soft rock;dance;fast;groovy;retro;oldies;love,6CKoWCWAqEVWVjpeoJXyNH</v>
      </c>
    </row>
    <row r="243" spans="1:1" ht="13.5" x14ac:dyDescent="0.25">
      <c r="A243" s="53" t="str">
        <f>IF((Contemporary!D212&lt;&gt;""),(CONCATENATE(Contemporary!D212,",",Contemporary!E212,",",Contemporary!G212,",",Contemporary!H212,",",Contemporary!P212,",",Contemporary!Q212,",",Contemporary!R212,",",Contemporary!T212,",",Contemporary!W212,",",Contemporary!B212,",",SUBSTITUTE(B243,",","%2c"),",",IF(Contemporary!K212&lt;&gt;"",Contemporary!K212,CONCATENATE(Contemporary!H212,";",Contemporary!I212)),",",Spotify!A230)),"")</f>
        <v>Pretty World,Sergio Mendes,1969,Jazz,144,94,64,91,38,WIP,,latin pop;latin;jazz;dance;oldies;retro;love,41vhG2EdqWXVeeuZTzO8aE</v>
      </c>
    </row>
    <row r="244" spans="1:1" ht="13.5" x14ac:dyDescent="0.25">
      <c r="A244" s="53" t="str">
        <f>IF((Contemporary!D213&lt;&gt;""),(CONCATENATE(Contemporary!D213,",",Contemporary!E213,",",Contemporary!G213,",",Contemporary!H213,",",Contemporary!P213,",",Contemporary!Q213,",",Contemporary!R213,",",Contemporary!T213,",",Contemporary!W213,",",Contemporary!B213,",",SUBSTITUTE(B244,",","%2c"),",",IF(Contemporary!K213&lt;&gt;"",Contemporary!K213,CONCATENATE(Contemporary!H213,";",Contemporary!I213)),",",Spotify!A231)),"")</f>
        <v>Price Tag,Jessie J,2011,Pop,102,71,71,54,75,,,pop;dance;groovy;love,7sapKrjDij2fpDVj0GxP66</v>
      </c>
    </row>
    <row r="245" spans="1:1" ht="13.5" x14ac:dyDescent="0.25">
      <c r="A245" s="53" t="str">
        <f>IF((Contemporary!D214&lt;&gt;""),(CONCATENATE(Contemporary!D214,",",Contemporary!E214,",",Contemporary!G214,",",Contemporary!H214,",",Contemporary!P214,",",Contemporary!Q214,",",Contemporary!R214,",",Contemporary!T214,",",Contemporary!W214,",",Contemporary!B214,",",SUBSTITUTE(B245,",","%2c"),",",IF(Contemporary!K214&lt;&gt;"",Contemporary!K214,CONCATENATE(Contemporary!H214,";",Contemporary!I214)),",",Spotify!A232)),"")</f>
        <v>Quando Quando Quando,Engelbert Humperdinck,1962,Bossa nova,116,74,67,75,78,,,;jazz;dance;groovy;retro;oldies,4ofwffwvvnbSkrMSCKQDaC</v>
      </c>
    </row>
    <row r="246" spans="1:1" ht="13.5" x14ac:dyDescent="0.25">
      <c r="A246" s="53" t="str">
        <f>IF((Contemporary!D215&lt;&gt;""),(CONCATENATE(Contemporary!D215,",",Contemporary!E215,",",Contemporary!G215,",",Contemporary!H215,",",Contemporary!P215,",",Contemporary!Q215,",",Contemporary!R215,",",Contemporary!T215,",",Contemporary!W215,",",Contemporary!B215,",",SUBSTITUTE(B246,",","%2c"),",",IF(Contemporary!K215&lt;&gt;"",Contemporary!K215,CONCATENATE(Contemporary!H215,";",Contemporary!I215)),",",Spotify!A233)),"")</f>
        <v>Que Sera Sera,Various,1956,Soundtrack,85,14,44,12,52,,,;oldies;retro;love;dance;acoustic;waltz;sweet,1KFuLRUmWf0irn0CLclT2X</v>
      </c>
    </row>
    <row r="247" spans="1:1" ht="13.5" x14ac:dyDescent="0.25">
      <c r="A247" s="53" t="str">
        <f>IF((Contemporary!D216&lt;&gt;""),(CONCATENATE(Contemporary!D216,",",Contemporary!E216,",",Contemporary!G216,",",Contemporary!H216,",",Contemporary!P216,",",Contemporary!Q216,",",Contemporary!R216,",",Contemporary!T216,",",Contemporary!W216,",",Contemporary!B216,",",SUBSTITUTE(B247,",","%2c"),",",IF(Contemporary!K216&lt;&gt;"",Contemporary!K216,CONCATENATE(Contemporary!H216,";",Contemporary!I216)),",",Spotify!A234)),"")</f>
        <v>Raindrops Keep Falling On My Head,BJ Thomas,1969,Pop,76,55,35,8,86,WIP,,soft pop;oldies;retro;dance;groovy;sweet,6VObnIkLVruX4UVyxWhlqm</v>
      </c>
    </row>
    <row r="248" spans="1:1" ht="13.5" x14ac:dyDescent="0.25">
      <c r="A248" s="53" t="str">
        <f>IF((Contemporary!D217&lt;&gt;""),(CONCATENATE(Contemporary!D217,",",Contemporary!E217,",",Contemporary!G217,",",Contemporary!H217,",",Contemporary!P217,",",Contemporary!Q217,",",Contemporary!R217,",",Contemporary!T217,",",Contemporary!W217,",",Contemporary!B217,",",SUBSTITUTE(B248,",","%2c"),",",IF(Contemporary!K217&lt;&gt;"",Contemporary!K217,CONCATENATE(Contemporary!H217,";",Contemporary!I217)),",",Spotify!A235)),"")</f>
        <v>Rasputin,Boney M,1978,RnB,117,91,50,72,83,WIP,,grunge;rock;oldies;retro,5ghIJDpPoe3CfHMGu71E6T</v>
      </c>
    </row>
    <row r="249" spans="1:1" ht="13.5" x14ac:dyDescent="0.25">
      <c r="A249" s="53" t="str">
        <f>IF((Contemporary!D218&lt;&gt;""),(CONCATENATE(Contemporary!D218,",",Contemporary!E218,",",Contemporary!G218,",",Contemporary!H218,",",Contemporary!P218,",",Contemporary!Q218,",",Contemporary!R218,",",Contemporary!T218,",",Contemporary!W218,",",Contemporary!B218,",",SUBSTITUTE(B249,",","%2c"),",",IF(Contemporary!K218&lt;&gt;"",Contemporary!K218,CONCATENATE(Contemporary!H218,";",Contemporary!I218)),",",Spotify!A236)),"")</f>
        <v>Rhythm Of Love,Plain White T's,2010,Rock,116,92,61,96,73,WIP,,;dance;fast;love;groovy;sweet,0n2SEXB2qoRQg171q7XqeW</v>
      </c>
    </row>
    <row r="250" spans="1:1" ht="13.5" x14ac:dyDescent="0.25">
      <c r="A250" s="53" t="str">
        <f>IF((Contemporary!D219&lt;&gt;""),(CONCATENATE(Contemporary!D219,",",Contemporary!E219,",",Contemporary!G219,",",Contemporary!H219,",",Contemporary!P219,",",Contemporary!Q219,",",Contemporary!R219,",",Contemporary!T219,",",Contemporary!W219,",",Contemporary!B219,",",SUBSTITUTE(B250,",","%2c"),",",IF(Contemporary!K219&lt;&gt;"",Contemporary!K219,CONCATENATE(Contemporary!H219,";",Contemporary!I219)),",",Spotify!A237)),"")</f>
        <v>Ring Of Fire,Johnny Cash,1962,Folk,119,58,73,96,84,,,;acoustic;oldies;retro;love;dance;sweet;folk,1Hv1VTm8zeOeybub15mA2R</v>
      </c>
    </row>
    <row r="251" spans="1:1" ht="13.5" x14ac:dyDescent="0.25">
      <c r="A251" s="53" t="str">
        <f>IF((Contemporary!D220&lt;&gt;""),(CONCATENATE(Contemporary!D220,",",Contemporary!E220,",",Contemporary!G220,",",Contemporary!H220,",",Contemporary!P220,",",Contemporary!Q220,",",Contemporary!R220,",",Contemporary!T220,",",Contemporary!W220,",",Contemporary!B220,",",SUBSTITUTE(B251,",","%2c"),",",IF(Contemporary!K220&lt;&gt;"",Contemporary!K220,CONCATENATE(Contemporary!H220,";",Contemporary!I220)),",",Spotify!A238)),"")</f>
        <v>Rock 'n' Roll,Eric Hutchinson,2008,Rock,105,90,43,60,84,,,funk rock;alternative rock;rock;acoustic;dance;groovy,2aibwv5hGXSgw7Yru8IYTO</v>
      </c>
    </row>
    <row r="252" spans="1:1" ht="13.5" x14ac:dyDescent="0.25">
      <c r="A252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252,",","%2c"),",",IF(Contemporary!#REF!&lt;&gt;"",Contemporary!#REF!,CONCATENATE(Contemporary!#REF!,";",Contemporary!#REF!)),",",Spotify!A239)),"")</f>
        <v>#REF!</v>
      </c>
    </row>
    <row r="253" spans="1:1" ht="13.5" x14ac:dyDescent="0.25">
      <c r="A253" s="53" t="str">
        <f>IF((Contemporary!D221&lt;&gt;""),(CONCATENATE(Contemporary!D221,",",Contemporary!E221,",",Contemporary!G221,",",Contemporary!H221,",",Contemporary!P221,",",Contemporary!Q221,",",Contemporary!R221,",",Contemporary!T221,",",Contemporary!W221,",",Contemporary!B221,",",SUBSTITUTE(B253,",","%2c"),",",IF(Contemporary!K221&lt;&gt;"",Contemporary!K221,CONCATENATE(Contemporary!H221,";",Contemporary!I221)),",",Spotify!A240)),"")</f>
        <v>Rocket Man,Elton John,1972,Rock,135,32,56,29,80,WIP,,soft pop;slow;dance;love;acoustic;retro;oldies,1zwMYTA5nlNjZxYrvBB2pV</v>
      </c>
    </row>
    <row r="254" spans="1:1" ht="13.5" x14ac:dyDescent="0.25">
      <c r="A254" s="53" t="str">
        <f>IF((Contemporary!D222&lt;&gt;""),(CONCATENATE(Contemporary!D222,",",Contemporary!E222,",",Contemporary!G222,",",Contemporary!H222,",",Contemporary!P222,",",Contemporary!Q222,",",Contemporary!R222,",",Contemporary!T222,",",Contemporary!W222,",",Contemporary!B222,",",SUBSTITUTE(B254,",","%2c"),",",IF(Contemporary!K222&lt;&gt;"",Contemporary!K222,CONCATENATE(Contemporary!H222,";",Contemporary!I222)),",",Spotify!A241)),"")</f>
        <v>Rockstar,Nickelback,2005,Rock,207,34,26,54,79,WIP,,christmas;big band;adult standards;swing music;jazz;vocal jazz;alternative;groovy;dance,4feXcsElKIVsGwkbnTHAfV</v>
      </c>
    </row>
    <row r="255" spans="1:1" ht="13.5" x14ac:dyDescent="0.25">
      <c r="A255" s="53" t="str">
        <f>IF((Contemporary!D223&lt;&gt;""),(CONCATENATE(Contemporary!D223,",",Contemporary!E223,",",Contemporary!G223,",",Contemporary!H223,",",Contemporary!P223,",",Contemporary!Q223,",",Contemporary!R223,",",Contemporary!T223,",",Contemporary!W223,",",Contemporary!B223,",",SUBSTITUTE(B255,",","%2c"),",",IF(Contemporary!K223&lt;&gt;"",Contemporary!K223,CONCATENATE(Contemporary!H223,";",Contemporary!I223)),",",Spotify!A242)),"")</f>
        <v>Rolling In The Deep,Adele,2011,Pop,182,50,40,82,68,,,;dance;groove;love,7odHgoLFi3GQ90E9PeraI3</v>
      </c>
    </row>
    <row r="256" spans="1:1" ht="13.5" x14ac:dyDescent="0.25">
      <c r="A256" s="53" t="str">
        <f>IF((Contemporary!D224&lt;&gt;""),(CONCATENATE(Contemporary!D224,",",Contemporary!E224,",",Contemporary!G224,",",Contemporary!H224,",",Contemporary!P224,",",Contemporary!Q224,",",Contemporary!R224,",",Contemporary!T224,",",Contemporary!W224,",",Contemporary!B224,",",SUBSTITUTE(B256,",","%2c"),",",IF(Contemporary!K224&lt;&gt;"",Contemporary!K224,CONCATENATE(Contemporary!H224,";",Contemporary!I224)),",",Spotify!A243)),"")</f>
        <v>Royals,Lorde,2013,Pop,124,72,39,50,67,,,;groove;dance,5pMmWfuL0FTGshYt7HVJ8P</v>
      </c>
    </row>
    <row r="257" spans="1:1" ht="13.5" x14ac:dyDescent="0.25">
      <c r="A257" s="53" t="str">
        <f>IF((Contemporary!D225&lt;&gt;""),(CONCATENATE(Contemporary!D225,",",Contemporary!E225,",",Contemporary!G225,",",Contemporary!H225,",",Contemporary!P225,",",Contemporary!Q225,",",Contemporary!R225,",",Contemporary!T225,",",Contemporary!W225,",",Contemporary!B225,",",SUBSTITUTE(B257,",","%2c"),",",IF(Contemporary!K225&lt;&gt;"",Contemporary!K225,CONCATENATE(Contemporary!H225,";",Contemporary!I225)),",",Spotify!A244)),"")</f>
        <v>Sad Movies (Make Me Cry),Sue Thompson,1961,Pop,156,34,53,60,31,WIP,,bluegrass;newgrass;folk;americana;oldies;retro;groovy;acoustic;sweet,6CnuCYYgFs8ejnSf9GxEbY</v>
      </c>
    </row>
    <row r="258" spans="1:1" ht="13.5" x14ac:dyDescent="0.25">
      <c r="A258" s="53" t="str">
        <f>IF((Contemporary!D226&lt;&gt;""),(CONCATENATE(Contemporary!D226,",",Contemporary!E226,",",Contemporary!G226,",",Contemporary!H226,",",Contemporary!P226,",",Contemporary!Q226,",",Contemporary!R226,",",Contemporary!T226,",",Contemporary!W226,",",Contemporary!B226,",",SUBSTITUTE(B258,",","%2c"),",",IF(Contemporary!K226&lt;&gt;"",Contemporary!K226,CONCATENATE(Contemporary!H226,";",Contemporary!I226)),",",Spotify!A245)),"")</f>
        <v>Senorita,Camila Cabello,2017,Dance,118,31,65,61,81,,,doo-wop;,3SdTKo2uVsxFblQjpScoHy</v>
      </c>
    </row>
    <row r="259" spans="1:1" ht="13.5" x14ac:dyDescent="0.25">
      <c r="A259" s="53" t="str">
        <f>IF((Contemporary!D227&lt;&gt;""),(CONCATENATE(Contemporary!D227,",",Contemporary!E227,",",Contemporary!G227,",",Contemporary!H227,",",Contemporary!P227,",",Contemporary!Q227,",",Contemporary!R227,",",Contemporary!T227,",",Contemporary!W227,",",Contemporary!B227,",",SUBSTITUTE(B259,",","%2c"),",",IF(Contemporary!K227&lt;&gt;"",Contemporary!K227,CONCATENATE(Contemporary!H227,";",Contemporary!I227)),",",Spotify!A246)),"")</f>
        <v>September,Earth Wind And Fire,1978,Disco,86,52,75,67,56,,,reggae;groovy;fast;dance;oldies;retro,3Rv2kFdLcwVdS47BLwo22O</v>
      </c>
    </row>
    <row r="260" spans="1:1" ht="13.5" x14ac:dyDescent="0.25">
      <c r="A260" s="53" t="str">
        <f>IF((Contemporary!D228&lt;&gt;""),(CONCATENATE(Contemporary!D228,",",Contemporary!E228,",",Contemporary!G228,",",Contemporary!H228,",",Contemporary!P228,",",Contemporary!Q228,",",Contemporary!R228,",",Contemporary!T228,",",Contemporary!W228,",",Contemporary!B228,",",SUBSTITUTE(B260,",","%2c"),",",IF(Contemporary!K228&lt;&gt;"",Contemporary!K228,CONCATENATE(Contemporary!H228,";",Contemporary!I228)),",",Spotify!A247)),"")</f>
        <v>Seven Nation Army,White Stripes,2003,Rock,124,58,82,96,79,WIP,,;alternative;dance;groovy;acoustic,3Vby4nGmtbDo7HDJamOWkT</v>
      </c>
    </row>
    <row r="261" spans="1:1" ht="13.5" x14ac:dyDescent="0.25">
      <c r="A261" s="53" t="str">
        <f>IF((Contemporary!D229&lt;&gt;""),(CONCATENATE(Contemporary!D229,",",Contemporary!E229,",",Contemporary!G229,",",Contemporary!H229,",",Contemporary!P229,",",Contemporary!Q229,",",Contemporary!R229,",",Contemporary!T229,",",Contemporary!W229,",",Contemporary!B229,",",SUBSTITUTE(B261,",","%2c"),",",IF(Contemporary!K229&lt;&gt;"",Contemporary!K229,CONCATENATE(Contemporary!H229,";",Contemporary!I229)),",",Spotify!A248)),"")</f>
        <v>Shape Of My Heart,Sting,1993,Rock,132,32,51,25,74,WIP,,motown;love;slow;dance,6HPLeKiNm92RbykX2BDTUB</v>
      </c>
    </row>
    <row r="262" spans="1:1" ht="13.5" x14ac:dyDescent="0.25">
      <c r="A262" s="53" t="str">
        <f>IF((Contemporary!D230&lt;&gt;""),(CONCATENATE(Contemporary!D230,",",Contemporary!E230,",",Contemporary!G230,",",Contemporary!H230,",",Contemporary!P230,",",Contemporary!Q230,",",Contemporary!R230,",",Contemporary!T230,",",Contemporary!W230,",",Contemporary!B230,",",SUBSTITUTE(B262,",","%2c"),",",IF(Contemporary!K230&lt;&gt;"",Contemporary!K230,CONCATENATE(Contemporary!H230,";",Contemporary!I230)),",",Spotify!A249)),"")</f>
        <v>She Bangs,Ricky Martin,1998,Pop,120,77,75,90,36,WIP,,pop;dance;fast;groovy,13nZlZZYT0VkoUkcZ9j8fI</v>
      </c>
    </row>
    <row r="263" spans="1:1" ht="13.5" x14ac:dyDescent="0.25">
      <c r="A263" s="53" t="str">
        <f>IF((Contemporary!D231&lt;&gt;""),(CONCATENATE(Contemporary!D231,",",Contemporary!E231,",",Contemporary!G231,",",Contemporary!H231,",",Contemporary!P231,",",Contemporary!Q231,",",Contemporary!R231,",",Contemporary!T231,",",Contemporary!W231,",",Contemporary!B231,",",SUBSTITUTE(B263,",","%2c"),",",IF(Contemporary!K231&lt;&gt;"",Contemporary!K231,CONCATENATE(Contemporary!H231,";",Contemporary!I231)),",",Spotify!A250)),"")</f>
        <v>She Will Be Loved,Maroon 5,2004,Rock,122,87,74,97,66,,,;alternative;acoustic;love;groovy,3iSws76HjaU7k49EqJVTfF</v>
      </c>
    </row>
    <row r="264" spans="1:1" ht="13.5" x14ac:dyDescent="0.25">
      <c r="A264" s="53" t="str">
        <f>IF((Contemporary!D232&lt;&gt;""),(CONCATENATE(Contemporary!D232,",",Contemporary!E232,",",Contemporary!G232,",",Contemporary!H232,",",Contemporary!P232,",",Contemporary!Q232,",",Contemporary!R232,",",Contemporary!T232,",",Contemporary!W232,",",Contemporary!B232,",",SUBSTITUTE(B264,",","%2c"),",",IF(Contemporary!K232&lt;&gt;"",Contemporary!K232,CONCATENATE(Contemporary!H232,";",Contemporary!I232)),",",Spotify!A251)),"")</f>
        <v>Shotgun,George Ezra,2018,Rock,148,80,73,93,76,WIP,,classic rock;alternative;dance;fast,6cr6UDpkjEaMQ80OjWqEBQ</v>
      </c>
    </row>
    <row r="265" spans="1:1" ht="13.5" x14ac:dyDescent="0.25">
      <c r="A265" s="53" t="str">
        <f>IF((Contemporary!D233&lt;&gt;""),(CONCATENATE(Contemporary!D233,",",Contemporary!E233,",",Contemporary!G233,",",Contemporary!H233,",",Contemporary!P233,",",Contemporary!Q233,",",Contemporary!R233,",",Contemporary!T233,",",Contemporary!W233,",",Contemporary!B233,",",SUBSTITUTE(B265,",","%2c"),",",IF(Contemporary!K233&lt;&gt;"",Contemporary!K233,CONCATENATE(Contemporary!H233,";",Contemporary!I233)),",",Spotify!A252)),"")</f>
        <v>Simply The Best,Noah Reid,2018,Soundtrack,130,17,56,66,27,WIP,,;acoustic;love;groovy,6j7zXlw0L2qHxVxmMb5qBm</v>
      </c>
    </row>
    <row r="266" spans="1:1" ht="13.5" x14ac:dyDescent="0.25">
      <c r="A266" s="53" t="str">
        <f>IF((Contemporary!D234&lt;&gt;""),(CONCATENATE(Contemporary!D234,",",Contemporary!E234,",",Contemporary!G234,",",Contemporary!H234,",",Contemporary!P234,",",Contemporary!Q234,",",Contemporary!R234,",",Contemporary!T234,",",Contemporary!W234,",",Contemporary!B234,",",SUBSTITUTE(B266,",","%2c"),",",IF(Contemporary!K234&lt;&gt;"",Contemporary!K234,CONCATENATE(Contemporary!H234,";",Contemporary!I234)),",",Spotify!A253)),"")</f>
        <v>Skyfall,Adele,2012,Pop,118,63,76,96,78,,,;dance;slow,0J2p4KYdr6Mg4ET6JPlbe1</v>
      </c>
    </row>
    <row r="267" spans="1:1" ht="13.5" x14ac:dyDescent="0.25">
      <c r="A267" s="53" t="str">
        <f>IF((Contemporary!D235&lt;&gt;""),(CONCATENATE(Contemporary!D235,",",Contemporary!E235,",",Contemporary!G235,",",Contemporary!H235,",",Contemporary!P235,",",Contemporary!Q235,",",Contemporary!R235,",",Contemporary!T235,",",Contemporary!W235,",",Contemporary!B235,",",SUBSTITUTE(B267,",","%2c"),",",IF(Contemporary!K235&lt;&gt;"",Contemporary!K235,CONCATENATE(Contemporary!H235,";",Contemporary!I235)),",",Spotify!A254)),"")</f>
        <v>Smells Like Teen Spirit,Nirvana,1991,Rock,162,79,54,83,33,WIP,,;,3ffJKEoVfbiSlDHztViu6O</v>
      </c>
    </row>
    <row r="268" spans="1:1" ht="13.5" x14ac:dyDescent="0.25">
      <c r="A268" s="53" t="str">
        <f>IF((Contemporary!D236&lt;&gt;""),(CONCATENATE(Contemporary!D236,",",Contemporary!E236,",",Contemporary!G236,",",Contemporary!H236,",",Contemporary!P236,",",Contemporary!Q236,",",Contemporary!R236,",",Contemporary!T236,",",Contemporary!W236,",",Contemporary!B236,",",SUBSTITUTE(B268,",","%2c"),",",IF(Contemporary!K236&lt;&gt;"",Contemporary!K236,CONCATENATE(Contemporary!H236,";",Contemporary!I236)),",",Spotify!A255)),"")</f>
        <v>Smooth,Santana,1999,Rock,142,38,27,15,56,WIP,,;groovy;dance;love,2u2WL5N3KnQnykOZi3fxL6</v>
      </c>
    </row>
    <row r="269" spans="1:1" ht="13.5" x14ac:dyDescent="0.25">
      <c r="A269" s="53" t="str">
        <f>IF((Contemporary!D237&lt;&gt;""),(CONCATENATE(Contemporary!D237,",",Contemporary!E237,",",Contemporary!G237,",",Contemporary!H237,",",Contemporary!P237,",",Contemporary!Q237,",",Contemporary!R237,",",Contemporary!T237,",",Contemporary!W237,",",Contemporary!B237,",",SUBSTITUTE(B269,",","%2c"),",",IF(Contemporary!K237&lt;&gt;"",Contemporary!K237,CONCATENATE(Contemporary!H237,";",Contemporary!I237)),",",Spotify!A256)),"")</f>
        <v>Smooth Operator,Sade,1984,Jazz,126,64,71,74,75,,,christmas;jazz;dance;love;groovy,2ajUl8lBLAXOXNpG4NEPMz</v>
      </c>
    </row>
    <row r="270" spans="1:1" ht="13.5" x14ac:dyDescent="0.25">
      <c r="A270" s="53" t="str">
        <f>IF((Contemporary!D238&lt;&gt;""),(CONCATENATE(Contemporary!D238,",",Contemporary!E238,",",Contemporary!G238,",",Contemporary!H238,",",Contemporary!P238,",",Contemporary!Q238,",",Contemporary!R238,",",Contemporary!T238,",",Contemporary!W238,",",Contemporary!B238,",",SUBSTITUTE(B270,",","%2c"),",",IF(Contemporary!K238&lt;&gt;"",Contemporary!K238,CONCATENATE(Contemporary!H238,";",Contemporary!I238)),",",Spotify!A257)),"")</f>
        <v>Snow (Hey Oh),Red Hot Chili Peppers,2006,Rock,125,95,45,62,90,,,rock;glam metal;hard rock;classic rock;alternative;fast;dance;groovy,7snQQk1zcKl8gZ92AnueZW</v>
      </c>
    </row>
    <row r="271" spans="1:1" ht="13.5" x14ac:dyDescent="0.25">
      <c r="A271" s="53" t="str">
        <f>IF((Contemporary!D239&lt;&gt;""),(CONCATENATE(Contemporary!D239,",",Contemporary!E239,",",Contemporary!G239,",",Contemporary!H239,",",Contemporary!P239,",",Contemporary!Q239,",",Contemporary!R239,",",Contemporary!T239,",",Contemporary!W239,",",Contemporary!B239,",",SUBSTITUTE(B271,",","%2c"),",",IF(Contemporary!K239&lt;&gt;"",Contemporary!K239,CONCATENATE(Contemporary!H239,";",Contemporary!I239)),",",Spotify!A258)),"")</f>
        <v>Somebody That I Used To Know,Gotye,2011,Pop,171,48,49,91,43,WIP,,christmas;adult standards;alternative;acoustic,4ykZMXKdWHgumz5XEOAh9N</v>
      </c>
    </row>
    <row r="272" spans="1:1" ht="13.5" x14ac:dyDescent="0.25">
      <c r="A272" s="53" t="str">
        <f>IF((Contemporary!D240&lt;&gt;""),(CONCATENATE(Contemporary!D240,",",Contemporary!E240,",",Contemporary!G240,",",Contemporary!H240,",",Contemporary!P240,",",Contemporary!Q240,",",Contemporary!R240,",",Contemporary!T240,",",Contemporary!W240,",",Contemporary!B240,",",SUBSTITUTE(B272,",","%2c"),",",IF(Contemporary!K240&lt;&gt;"",Contemporary!K240,CONCATENATE(Contemporary!H240,";",Contemporary!I240)),",",Spotify!A259)),"")</f>
        <v>Someone Like You,Adele,2011,Pop,125,71,69,88,86,,,new wave;synthpop;slow;love;acoustic;alternative,1TfqLAPs4K3s2rJMoCokcS</v>
      </c>
    </row>
    <row r="273" spans="1:1" ht="13.5" x14ac:dyDescent="0.25">
      <c r="A273" s="53" t="str">
        <f>IF((Contemporary!D241&lt;&gt;""),(CONCATENATE(Contemporary!D241,",",Contemporary!E241,",",Contemporary!G241,",",Contemporary!H241,",",Contemporary!P241,",",Contemporary!Q241,",",Contemporary!R241,",",Contemporary!T241,",",Contemporary!W241,",",Contemporary!B241,",",SUBSTITUTE(B273,",","%2c"),",",IF(Contemporary!K241&lt;&gt;"",Contemporary!K241,CONCATENATE(Contemporary!H241,";",Contemporary!I241)),",",Spotify!A260)),"")</f>
        <v>Something Stupid,Frank Sinatra,1967,Pop,107,68,68,92,79,,,;slow;love;acoustic;alternative;dance,5BckPAYcKEJuYs1eV1BHHe</v>
      </c>
    </row>
    <row r="274" spans="1:1" ht="13.5" x14ac:dyDescent="0.25">
      <c r="A274" s="53" t="str">
        <f>IF((Contemporary!D242&lt;&gt;""),(CONCATENATE(Contemporary!D242,",",Contemporary!E242,",",Contemporary!G242,",",Contemporary!H242,",",Contemporary!P242,",",Contemporary!Q242,",",Contemporary!R242,",",Contemporary!T242,",",Contemporary!W242,",",Contemporary!B242,",",SUBSTITUTE(B274,",","%2c"),",",IF(Contemporary!K242&lt;&gt;"",Contemporary!K242,CONCATENATE(Contemporary!H242,";",Contemporary!I242)),",",Spotify!A261)),"")</f>
        <v>Son of a Preacher Man,Dusty Springfield,1969,RnB,174,26,45,57,51,WIP,,jazz;cool jazz;groovy;dance;oldies;retro;love,5UbLKRX1qVROlwDFOooEvG</v>
      </c>
    </row>
    <row r="275" spans="1:1" ht="13.5" x14ac:dyDescent="0.25">
      <c r="A275" s="53" t="str">
        <f>IF((Contemporary!D243&lt;&gt;""),(CONCATENATE(Contemporary!D243,",",Contemporary!E243,",",Contemporary!G243,",",Contemporary!H243,",",Contemporary!P243,",",Contemporary!Q243,",",Contemporary!R243,",",Contemporary!T243,",",Contemporary!W243,",",Contemporary!B243,",",SUBSTITUTE(B275,",","%2c"),",",IF(Contemporary!K243&lt;&gt;"",Contemporary!K243,CONCATENATE(Contemporary!H243,";",Contemporary!I243)),",",Spotify!A262)),"")</f>
        <v>SOS,ABBA,1975,Pop,129,66,57,44,82,,,;dance;jive;oldies;retro;groovy;love,1CS7Sd1u5tWkstBhpssyjP</v>
      </c>
    </row>
    <row r="276" spans="1:1" ht="13.5" x14ac:dyDescent="0.25">
      <c r="A276" s="53" t="str">
        <f>IF((Contemporary!D244&lt;&gt;""),(CONCATENATE(Contemporary!D244,",",Contemporary!E244,",",Contemporary!G244,",",Contemporary!H244,",",Contemporary!P244,",",Contemporary!Q244,",",Contemporary!R244,",",Contemporary!T244,",",Contemporary!W244,",",Contemporary!B244,",",SUBSTITUTE(B276,",","%2c"),",",IF(Contemporary!K244&lt;&gt;"",Contemporary!K244,CONCATENATE(Contemporary!H244,";",Contemporary!I244)),",",Spotify!A263)),"")</f>
        <v>Spit On A Stranger,Nickel Creek,1999,Rock,154,24,50,31,1,WIP,,blues;blues rock;classic rock;alternative;acoustic,7utRJ4BeYx85khzP3lKoBX</v>
      </c>
    </row>
    <row r="277" spans="1:1" ht="13.5" x14ac:dyDescent="0.25">
      <c r="A277" s="53" t="str">
        <f>IF((Contemporary!D245&lt;&gt;""),(CONCATENATE(Contemporary!D245,",",Contemporary!E245,",",Contemporary!G245,",",Contemporary!H245,",",Contemporary!P245,",",Contemporary!Q245,",",Contemporary!R245,",",Contemporary!T245,",",Contemporary!W245,",",Contemporary!B245,",",SUBSTITUTE(B277,",","%2c"),",",IF(Contemporary!K245&lt;&gt;"",Contemporary!K245,CONCATENATE(Contemporary!H245,";",Contemporary!I245)),",",Spotify!A264)),"")</f>
        <v>Stand By Me,Ben E. King,1961,RnB,134,48,62,85,25,,,;oldies;retro;jazz;dance;groovy,1xYkExG0VqJBMAJ047kd97</v>
      </c>
    </row>
    <row r="278" spans="1:1" ht="13.5" x14ac:dyDescent="0.25">
      <c r="A278" s="53" t="str">
        <f>IF((Contemporary!D246&lt;&gt;""),(CONCATENATE(Contemporary!D246,",",Contemporary!E246,",",Contemporary!G246,",",Contemporary!H246,",",Contemporary!P246,",",Contemporary!Q246,",",Contemporary!R246,",",Contemporary!T246,",",Contemporary!W246,",",Contemporary!B246,",",SUBSTITUTE(B278,",","%2c"),",",IF(Contemporary!K246&lt;&gt;"",Contemporary!K246,CONCATENATE(Contemporary!H246,";",Contemporary!I246)),",",Spotify!A265)),"")</f>
        <v>Strength Of A Woman,Shaggy,2002,Reggae,99,29,66,54,20,WIP,,;groovy;dance;acoustic;alternative,7F7ueUXVb16kzTVsPhTMCw</v>
      </c>
    </row>
    <row r="279" spans="1:1" ht="13.5" x14ac:dyDescent="0.25">
      <c r="A279" s="53" t="str">
        <f>IF((Contemporary!D247&lt;&gt;""),(CONCATENATE(Contemporary!D247,",",Contemporary!E247,",",Contemporary!G247,",",Contemporary!H247,",",Contemporary!P247,",",Contemporary!Q247,",",Contemporary!R247,",",Contemporary!T247,",",Contemporary!W247,",",Contemporary!B247,",",SUBSTITUTE(B279,",","%2c"),",",IF(Contemporary!K247&lt;&gt;"",Contemporary!K247,CONCATENATE(Contemporary!H247,";",Contemporary!I247)),",",Spotify!A266)),"")</f>
        <v>Stuck In The Middle With You,Stealer's Wheel,1972,Pop,116,67,65,83,54,WIP,,;oldies;retro;dance;fast;groovy,5TuzQ44lPWTCKbfXbNIEXg</v>
      </c>
    </row>
    <row r="280" spans="1:1" ht="13.5" x14ac:dyDescent="0.25">
      <c r="A280" s="53" t="str">
        <f>IF((Contemporary!D248&lt;&gt;""),(CONCATENATE(Contemporary!D248,",",Contemporary!E248,",",Contemporary!G248,",",Contemporary!H248,",",Contemporary!P248,",",Contemporary!Q248,",",Contemporary!R248,",",Contemporary!T248,",",Contemporary!W248,",",Contemporary!B248,",",SUBSTITUTE(B280,",","%2c"),",",IF(Contemporary!K248&lt;&gt;"",Contemporary!K248,CONCATENATE(Contemporary!H248,";",Contemporary!I248)),",",Spotify!A267)),"")</f>
        <v>Stuck On You,Lionel Richie,1983,Rock,93,49,44,63,74,WIP,,folk rock;folk;,76TZCvJ8GitQ2FA1q5dKu0</v>
      </c>
    </row>
    <row r="281" spans="1:1" ht="13.5" x14ac:dyDescent="0.25">
      <c r="A281" s="53" t="str">
        <f>IF((Contemporary!D249&lt;&gt;""),(CONCATENATE(Contemporary!D249,",",Contemporary!E249,",",Contemporary!G249,",",Contemporary!H249,",",Contemporary!P249,",",Contemporary!Q249,",",Contemporary!R249,",",Contemporary!T249,",",Contemporary!W249,",",Contemporary!B249,",",SUBSTITUTE(B281,",","%2c"),",",IF(Contemporary!K249&lt;&gt;"",Contemporary!K249,CONCATENATE(Contemporary!H249,";",Contemporary!I249)),",",Spotify!A268)),"")</f>
        <v>Sugar,Maroon 5,2014,Pop,142,51,60,35,1,WIP,,folk;indie folk;folk rock;,7IxVWmdabNVhfLBV3JD0nJ</v>
      </c>
    </row>
    <row r="282" spans="1:1" ht="13.5" x14ac:dyDescent="0.25">
      <c r="A282" s="53" t="str">
        <f>IF((Contemporary!D250&lt;&gt;""),(CONCATENATE(Contemporary!D250,",",Contemporary!E250,",",Contemporary!G250,",",Contemporary!H250,",",Contemporary!P250,",",Contemporary!Q250,",",Contemporary!R250,",",Contemporary!T250,",",Contemporary!W250,",",Contemporary!B250,",",SUBSTITUTE(B282,",","%2c"),",",IF(Contemporary!K250&lt;&gt;"",Contemporary!K250,CONCATENATE(Contemporary!H250,";",Contemporary!I250)),",",Spotify!A269)),"")</f>
        <v>Sugar (Honey Honey),Archies,1969,Pop,130,19,67,44,56,,,bossa nova;jazz;brazilian jazz;cool jazz;latin jazz;jazz ballads;oldies;retro;dance;groovy;fast;sweet;love,3898C4AbdbptwYet6547e5</v>
      </c>
    </row>
    <row r="283" spans="1:1" ht="13.5" x14ac:dyDescent="0.25">
      <c r="A283" s="53" t="str">
        <f>IF((Contemporary!D251&lt;&gt;""),(CONCATENATE(Contemporary!D251,",",Contemporary!E251,",",Contemporary!G251,",",Contemporary!H251,",",Contemporary!P251,",",Contemporary!Q251,",",Contemporary!R251,",",Contemporary!T251,",",Contemporary!W251,",",Contemporary!B251,",",SUBSTITUTE(B283,",","%2c"),",",IF(Contemporary!K251&lt;&gt;"",Contemporary!K251,CONCATENATE(Contemporary!H251,";",Contemporary!I251)),",",Spotify!A270)),"")</f>
        <v>Sultans Of Swing,Dire Straits,1978,Rock,83,45,60,80,78,WIP,,classic rock;oldies;retro;dance;jive;fast,1bp2IO61zbQrbWNmKKxg3f</v>
      </c>
    </row>
    <row r="284" spans="1:1" ht="13.5" x14ac:dyDescent="0.25">
      <c r="A284" s="53" t="str">
        <f>IF((Contemporary!D252&lt;&gt;""),(CONCATENATE(Contemporary!D252,",",Contemporary!E252,",",Contemporary!G252,",",Contemporary!H252,",",Contemporary!P252,",",Contemporary!Q252,",",Contemporary!R252,",",Contemporary!T252,",",Contemporary!W252,",",Contemporary!B252,",",SUBSTITUTE(B284,",","%2c"),",",IF(Contemporary!K252&lt;&gt;"",Contemporary!K252,CONCATENATE(Contemporary!H252,";",Contemporary!I252)),",",Spotify!A271)),"")</f>
        <v>Summer Holiday,Cliff Richard,1962,Pop,175,71,79,96,78,WIP,,;oldies;retro;dance;groovy;sweet,1ExfPZEiahqhLyajhybFeS</v>
      </c>
    </row>
    <row r="285" spans="1:1" ht="13.5" x14ac:dyDescent="0.25">
      <c r="A285" s="53" t="str">
        <f>IF((Contemporary!D253&lt;&gt;""),(CONCATENATE(Contemporary!D253,",",Contemporary!E253,",",Contemporary!G253,",",Contemporary!H253,",",Contemporary!P253,",",Contemporary!Q253,",",Contemporary!R253,",",Contemporary!T253,",",Contemporary!W253,",",Contemporary!B253,",",SUBSTITUTE(B285,",","%2c"),",",IF(Contemporary!K253&lt;&gt;"",Contemporary!K253,CONCATENATE(Contemporary!H253,";",Contemporary!I253)),",",Spotify!A272)),"")</f>
        <v>Super Trouper,ABBA,1980,Pop,83,67,47,7,7,,,nu metal;oldies;retro;dance;jive;groovy;love,77loZpT5Y5PRP1S451P9Yz</v>
      </c>
    </row>
    <row r="286" spans="1:1" ht="13.5" x14ac:dyDescent="0.25">
      <c r="A286" s="53" t="str">
        <f>IF((Contemporary!D254&lt;&gt;""),(CONCATENATE(Contemporary!D254,",",Contemporary!E254,",",Contemporary!G254,",",Contemporary!H254,",",Contemporary!P254,",",Contemporary!Q254,",",Contemporary!R254,",",Contemporary!T254,",",Contemporary!W254,",",Contemporary!B254,",",SUBSTITUTE(B286,",","%2c"),",",IF(Contemporary!K254&lt;&gt;"",Contemporary!K254,CONCATENATE(Contemporary!H254,";",Contemporary!I254)),",",Spotify!A273)),"")</f>
        <v>Superman (Scrubs theme),Lazlo Bane,2000,Rock,146,44,56,21,89,WIP,,;acoustic;alternative;groovy;love,75JFxkI2RXiU7L9VXzMkle</v>
      </c>
    </row>
    <row r="287" spans="1:1" ht="13.5" x14ac:dyDescent="0.25">
      <c r="A287" s="53" t="str">
        <f>IF((Contemporary!D255&lt;&gt;""),(CONCATENATE(Contemporary!D255,",",Contemporary!E255,",",Contemporary!G255,",",Contemporary!H255,",",Contemporary!P255,",",Contemporary!Q255,",",Contemporary!R255,",",Contemporary!T255,",",Contemporary!W255,",",Contemporary!B255,",",SUBSTITUTE(B287,",","%2c"),",",IF(Contemporary!K255&lt;&gt;"",Contemporary!K255,CONCATENATE(Contemporary!H255,";",Contemporary!I255)),",",Spotify!A274)),"")</f>
        <v>Swallowed In The Sea,Coldplay,2005,Rock,123,59,75,59,59,,,;slow;love;acoustic,1mHoqHeQClLBp5UO3TbUac</v>
      </c>
    </row>
    <row r="288" spans="1:1" ht="13.5" x14ac:dyDescent="0.25">
      <c r="A288" s="53" t="str">
        <f>IF((Contemporary!D256&lt;&gt;""),(CONCATENATE(Contemporary!D256,",",Contemporary!E256,",",Contemporary!G256,",",Contemporary!H256,",",Contemporary!P256,",",Contemporary!Q256,",",Contemporary!R256,",",Contemporary!T256,",",Contemporary!W256,",",Contemporary!B256,",",SUBSTITUTE(B288,",","%2c"),",",IF(Contemporary!K256&lt;&gt;"",Contemporary!K256,CONCATENATE(Contemporary!H256,";",Contemporary!I256)),",",Spotify!A275)),"")</f>
        <v>Sway,Michael Buble,1953,Latin,107,23,54,34,65,,,folk rock;folk;jazz;love;dance;groovy;oldies;retro,3YfS47QufnLDFA71FUsgCM</v>
      </c>
    </row>
    <row r="289" spans="1:1" ht="13.5" x14ac:dyDescent="0.25">
      <c r="A289" s="53" t="str">
        <f>IF((Contemporary!D257&lt;&gt;""),(CONCATENATE(Contemporary!D257,",",Contemporary!E257,",",Contemporary!G257,",",Contemporary!H257,",",Contemporary!P257,",",Contemporary!Q257,",",Contemporary!R257,",",Contemporary!T257,",",Contemporary!W257,",",Contemporary!B257,",",SUBSTITUTE(B289,",","%2c"),",",IF(Contemporary!K257&lt;&gt;"",Contemporary!K257,CONCATENATE(Contemporary!H257,";",Contemporary!I257)),",",Spotify!A276)),"")</f>
        <v>Sweet Child Of Mine,Guns n Roses,1987,Rock,82,49,49,37,62,,,hard rock;aor;metal;heavy metal;dance;fast;groovy;love,0gaMmmhGi5buPXpquSAfxg</v>
      </c>
    </row>
    <row r="290" spans="1:1" ht="13.5" x14ac:dyDescent="0.25">
      <c r="A290" s="53" t="str">
        <f>IF((Contemporary!D258&lt;&gt;""),(CONCATENATE(Contemporary!D258,",",Contemporary!E258,",",Contemporary!G258,",",Contemporary!H258,",",Contemporary!P258,",",Contemporary!Q258,",",Contemporary!R258,",",Contemporary!T258,",",Contemporary!W258,",",Contemporary!B258,",",SUBSTITUTE(B290,",","%2c"),",",IF(Contemporary!K258&lt;&gt;"",Contemporary!K258,CONCATENATE(Contemporary!H258,";",Contemporary!I258)),",",Spotify!A277)),"")</f>
        <v>Sweet Dreams,Eurhythmics,1982,Pop,96,58,81,97,51,WIP,,;alternative;groovy,1jLRap9S6KxWpzlxBqYh17</v>
      </c>
    </row>
    <row r="291" spans="1:1" ht="13.5" x14ac:dyDescent="0.25">
      <c r="A291" s="53" t="str">
        <f>IF((Contemporary!D259&lt;&gt;""),(CONCATENATE(Contemporary!D259,",",Contemporary!E259,",",Contemporary!G259,",",Contemporary!H259,",",Contemporary!P259,",",Contemporary!Q259,",",Contemporary!R259,",",Contemporary!T259,",",Contemporary!W259,",",Contemporary!B259,",",SUBSTITUTE(B291,",","%2c"),",",IF(Contemporary!K259&lt;&gt;"",Contemporary!K259,CONCATENATE(Contemporary!H259,";",Contemporary!I259)),",",Spotify!A278)),"")</f>
        <v>Sweet Sweet Smile,Carpenters,1977,Pop,172,40,39,59,69,,,folk rock;folk;singer-songwriter;roots rock;oldies;retro;dance;fast;groovy;acoustic;sweet;love,52vA3CYKZqZVdQnzRrdZt6</v>
      </c>
    </row>
    <row r="292" spans="1:1" ht="13.5" x14ac:dyDescent="0.25">
      <c r="A292" s="53" t="str">
        <f>IF((Contemporary!D260&lt;&gt;""),(CONCATENATE(Contemporary!D260,",",Contemporary!E260,",",Contemporary!G260,",",Contemporary!H260,",",Contemporary!P260,",",Contemporary!Q260,",",Contemporary!R260,",",Contemporary!T260,",",Contemporary!W260,",",Contemporary!B260,",",SUBSTITUTE(B292,",","%2c"),",",IF(Contemporary!K260&lt;&gt;"",Contemporary!K260,CONCATENATE(Contemporary!H260,";",Contemporary!I260)),",",Spotify!A279)),"")</f>
        <v>Take A Chance On Me,ABBA,1977,Pop,121,88,65,91,70,,,;dance;jive;oldies;retro;love,7IsEXPk6qqt30FfQv4SZMa</v>
      </c>
    </row>
    <row r="293" spans="1:1" ht="13.5" x14ac:dyDescent="0.25">
      <c r="A293" s="53" t="str">
        <f>IF((Contemporary!D261&lt;&gt;""),(CONCATENATE(Contemporary!D261,",",Contemporary!E261,",",Contemporary!G261,",",Contemporary!H261,",",Contemporary!P261,",",Contemporary!Q261,",",Contemporary!R261,",",Contemporary!T261,",",Contemporary!W261,",",Contemporary!B261,",",SUBSTITUTE(B293,",","%2c"),",",IF(Contemporary!K261&lt;&gt;"",Contemporary!K261,CONCATENATE(Contemporary!H261,";",Contemporary!I261)),",",Spotify!A280)),"")</f>
        <v>Take Five,Dave Brubeck,1959,Jazz,120,26,88,32,53,,,;jazz;acoustic;groovy;oldies;retro,43ddJFnP8m3PzNJXiHuiyJ</v>
      </c>
    </row>
    <row r="294" spans="1:1" ht="13.5" x14ac:dyDescent="0.25">
      <c r="A294" s="53" t="str">
        <f>IF((Contemporary!D262&lt;&gt;""),(CONCATENATE(Contemporary!D262,",",Contemporary!E262,",",Contemporary!G262,",",Contemporary!H262,",",Contemporary!P262,",",Contemporary!Q262,",",Contemporary!R262,",",Contemporary!T262,",",Contemporary!W262,",",Contemporary!B262,",",SUBSTITUTE(B294,",","%2c"),",",IF(Contemporary!K262&lt;&gt;"",Contemporary!K262,CONCATENATE(Contemporary!H262,";",Contemporary!I262)),",",Spotify!A281)),"")</f>
        <v>Take Me To Church,Hozier,2014,Soul,132,24,62,59,70,WIP,,christmas;big band;adult standards;swing music;jazz;vocal jazz;acoustic;alternative;love,0elmUoU7eMPwZX1Mw1MnQo</v>
      </c>
    </row>
    <row r="295" spans="1:1" ht="13.5" x14ac:dyDescent="0.25">
      <c r="A295" s="53" t="str">
        <f>IF((Contemporary!D263&lt;&gt;""),(CONCATENATE(Contemporary!D263,",",Contemporary!E263,",",Contemporary!G263,",",Contemporary!H263,",",Contemporary!P263,",",Contemporary!Q263,",",Contemporary!R263,",",Contemporary!T263,",",Contemporary!W263,",",Contemporary!B263,",",SUBSTITUTE(B295,",","%2c"),",",IF(Contemporary!K263&lt;&gt;"",Contemporary!K263,CONCATENATE(Contemporary!H263,";",Contemporary!I263)),",",Spotify!A282)),"")</f>
        <v>Tears in Heaven,Eric Clapton,1992,Rock,114,82,61,51,64,,,;slow;love;acoustic,541jTq3SOEELKvcfA0jHI0</v>
      </c>
    </row>
    <row r="296" spans="1:1" ht="13.5" x14ac:dyDescent="0.25">
      <c r="A296" s="53" t="str">
        <f>IF((Contemporary!D264&lt;&gt;""),(CONCATENATE(Contemporary!D264,",",Contemporary!E264,",",Contemporary!G264,",",Contemporary!H264,",",Contemporary!P264,",",Contemporary!Q264,",",Contemporary!R264,",",Contemporary!T264,",",Contemporary!W264,",",Contemporary!B264,",",SUBSTITUTE(B296,",","%2c"),",",IF(Contemporary!K264&lt;&gt;"",Contemporary!K264,CONCATENATE(Contemporary!H264,";",Contemporary!I264)),",",Spotify!A283)),"")</f>
        <v>Ten Guitars,Engelbert Humperdinck,1966,Pop,126,79,45,52,87,WIP,,;dance;love;oldies;retro;fast;acoustic;sweet,3oEkrIfXfSh9zGnE7eBzSV</v>
      </c>
    </row>
    <row r="297" spans="1:1" ht="13.5" x14ac:dyDescent="0.25">
      <c r="A297" s="53" t="str">
        <f>IF((Contemporary!D265&lt;&gt;""),(CONCATENATE(Contemporary!D265,",",Contemporary!E265,",",Contemporary!G265,",",Contemporary!H265,",",Contemporary!P265,",",Contemporary!Q265,",",Contemporary!R265,",",Contemporary!T265,",",Contemporary!W265,",",Contemporary!B265,",",SUBSTITUTE(B297,",","%2c"),",",IF(Contemporary!K265&lt;&gt;"",Contemporary!K265,CONCATENATE(Contemporary!H265,";",Contemporary!I265)),",",Spotify!A284)),"")</f>
        <v>Thank You For The Music,ABBA,1977,Pop,120,79,50,46,70,,,;oldies;retro;dance;groovy,43z6scIZU2QcEieMQFAJRG</v>
      </c>
    </row>
    <row r="298" spans="1:1" ht="13.5" x14ac:dyDescent="0.25">
      <c r="A298" s="53" t="str">
        <f>IF((Contemporary!D266&lt;&gt;""),(CONCATENATE(Contemporary!D266,",",Contemporary!E266,",",Contemporary!G266,",",Contemporary!H266,",",Contemporary!P266,",",Contemporary!Q266,",",Contemporary!R266,",",Contemporary!T266,",",Contemporary!W266,",",Contemporary!B266,",",SUBSTITUTE(B298,",","%2c"),",",IF(Contemporary!K266&lt;&gt;"",Contemporary!K266,CONCATENATE(Contemporary!H266,";",Contemporary!I266)),",",Spotify!A285)),"")</f>
        <v>The Animal Song,Savage Garden,1999,Pop,79,45,78,59,86,WIP,,soft pop;dance;fast;groovy;alternative,34gCuhDGsG4bRPIf9bb02f</v>
      </c>
    </row>
    <row r="299" spans="1:1" ht="13.5" x14ac:dyDescent="0.25">
      <c r="A299" s="53" t="str">
        <f>IF((Contemporary!D267&lt;&gt;""),(CONCATENATE(Contemporary!D267,",",Contemporary!E267,",",Contemporary!G267,",",Contemporary!H267,",",Contemporary!P267,",",Contemporary!Q267,",",Contemporary!R267,",",Contemporary!T267,",",Contemporary!W267,",",Contemporary!B267,",",SUBSTITUTE(B299,",","%2c"),",",IF(Contemporary!K267&lt;&gt;"",Contemporary!K267,CONCATENATE(Contemporary!H267,";",Contemporary!I267)),",",Spotify!A286)),"")</f>
        <v>The Boxer,Simon and Garfunkel,1970,Rock,190,88,51,87,48,WIP,,;oldies;retro;acoustic,3AI7ca5RpYLyqaVgU7K1AP</v>
      </c>
    </row>
    <row r="300" spans="1:1" ht="13.5" x14ac:dyDescent="0.25">
      <c r="A300" s="53" t="str">
        <f>IF((Contemporary!D268&lt;&gt;""),(CONCATENATE(Contemporary!D268,",",Contemporary!E268,",",Contemporary!G268,",",Contemporary!H268,",",Contemporary!P268,",",Contemporary!Q268,",",Contemporary!R268,",",Contemporary!T268,",",Contemporary!W268,",",Contemporary!B268,",",SUBSTITUTE(B300,",","%2c"),",",IF(Contemporary!K268&lt;&gt;"",Contemporary!K268,CONCATENATE(Contemporary!H268,";",Contemporary!I268)),",",Spotify!A287)),"")</f>
        <v>The Cave,Mumford and Sons,2009,Rock,95,86,71,81,88,WIP,,pop;acoustic;alternative,6ECp64rv50XVz93WvxXMGF</v>
      </c>
    </row>
    <row r="301" spans="1:1" ht="13.5" x14ac:dyDescent="0.25">
      <c r="A301" s="53" t="str">
        <f>IF((Contemporary!D269&lt;&gt;""),(CONCATENATE(Contemporary!D269,",",Contemporary!E269,",",Contemporary!G269,",",Contemporary!H269,",",Contemporary!P269,",",Contemporary!Q269,",",Contemporary!R269,",",Contemporary!T269,",",Contemporary!W269,",",Contemporary!B269,",",SUBSTITUTE(B301,",","%2c"),",",IF(Contemporary!K269&lt;&gt;"",Contemporary!K269,CONCATENATE(Contemporary!H269,";",Contemporary!I269)),",",Spotify!A288)),"")</f>
        <v>The Girl From Ipanema,Getz / Gilberto,1964,Bossa nova,113,4,66,38,47,WIP,,;oldies;retro;acoustic;jazz;groovy,43vXr8p0npNgpINqlJBW1Y</v>
      </c>
    </row>
    <row r="302" spans="1:1" ht="13.5" x14ac:dyDescent="0.25">
      <c r="A302" s="53" t="str">
        <f>IF((Contemporary!D270&lt;&gt;""),(CONCATENATE(Contemporary!D270,",",Contemporary!E270,",",Contemporary!G270,",",Contemporary!H270,",",Contemporary!P270,",",Contemporary!Q270,",",Contemporary!R270,",",Contemporary!T270,",",Contemporary!W270,",",Contemporary!B270,",",SUBSTITUTE(B302,",","%2c"),",",IF(Contemporary!K270&lt;&gt;"",Contemporary!K270,CONCATENATE(Contemporary!H270,";",Contemporary!I270)),",",Spotify!A289)),"")</f>
        <v>The Joker,Steve Miller Band,2002,Rock,122,34,73,65,66,WIP,,classic rock;psychedelic rock;acoustic;groovy;dance;slow,0ESIjVxnDnCDaTPo6sStHm</v>
      </c>
    </row>
    <row r="303" spans="1:1" ht="13.5" x14ac:dyDescent="0.25">
      <c r="A303" s="53" t="str">
        <f>IF((Contemporary!D271&lt;&gt;""),(CONCATENATE(Contemporary!D271,",",Contemporary!E271,",",Contemporary!G271,",",Contemporary!H271,",",Contemporary!P271,",",Contemporary!Q271,",",Contemporary!R271,",",Contemporary!T271,",",Contemporary!W271,",",Contemporary!B271,",",SUBSTITUTE(B303,",","%2c"),",",IF(Contemporary!K271&lt;&gt;"",Contemporary!K271,CONCATENATE(Contemporary!H271,";",Contemporary!I271)),",",Spotify!A290)),"")</f>
        <v>The Lazy Song,Bruno Mars,2011,Reggae,181,15,38,22,58,WIP,,;groovy;dance;acoustic;alternative,7ExSGiqt0W5xu3XoAwjnDm</v>
      </c>
    </row>
    <row r="304" spans="1:1" ht="13.5" x14ac:dyDescent="0.25">
      <c r="A304" s="53" t="str">
        <f>IF((Contemporary!D272&lt;&gt;""),(CONCATENATE(Contemporary!D272,",",Contemporary!E272,",",Contemporary!G272,",",Contemporary!H272,",",Contemporary!P272,",",Contemporary!Q272,",",Contemporary!R272,",",Contemporary!T272,",",Contemporary!W272,",",Contemporary!B272,",",SUBSTITUTE(B304,",","%2c"),",",IF(Contemporary!K272&lt;&gt;"",Contemporary!K272,CONCATENATE(Contemporary!H272,";",Contemporary!I272)),",",Spotify!A291)),"")</f>
        <v>The Reason,Hoobastank,2003,Rock,134,27,54,70,1,,,folk rock;singer-songwriter;alternative;acoustic,561F1zqRwGPCTMRsLsXVtL</v>
      </c>
    </row>
    <row r="305" spans="1:1" ht="13.5" x14ac:dyDescent="0.25">
      <c r="A305" s="53" t="str">
        <f>IF((Contemporary!D273&lt;&gt;""),(CONCATENATE(Contemporary!D273,",",Contemporary!E273,",",Contemporary!G273,",",Contemporary!H273,",",Contemporary!P273,",",Contemporary!Q273,",",Contemporary!R273,",",Contemporary!T273,",",Contemporary!W273,",",Contemporary!B273,",",SUBSTITUTE(B305,",","%2c"),",",IF(Contemporary!K273&lt;&gt;"",Contemporary!K273,CONCATENATE(Contemporary!H273,";",Contemporary!I273)),",",Spotify!A292)),"")</f>
        <v>The Scientist,Coldplay,2002,Rock,118,15,50,15,35,,,jazz pop;alternative;slow;acoustic;love,1OitCc6VrNZGV5FHF2Mkws</v>
      </c>
    </row>
    <row r="306" spans="1:1" ht="13.5" x14ac:dyDescent="0.25">
      <c r="A306" s="53" t="str">
        <f>IF((Contemporary!D274&lt;&gt;""),(CONCATENATE(Contemporary!D274,",",Contemporary!E274,",",Contemporary!G274,",",Contemporary!H274,",",Contemporary!P274,",",Contemporary!Q274,",",Contemporary!R274,",",Contemporary!T274,",",Contemporary!W274,",",Contemporary!B274,",",SUBSTITUTE(B306,",","%2c"),",",IF(Contemporary!K274&lt;&gt;"",Contemporary!K274,CONCATENATE(Contemporary!H274,";",Contemporary!I274)),",",Spotify!A293)),"")</f>
        <v>The Show,Lenka,2008,Pop,84,41,69,48,62,WIP,,glam metal;alternative;acoustic;love,3bP47tw8MOgtrwdO1iahVl</v>
      </c>
    </row>
    <row r="307" spans="1:1" ht="13.5" x14ac:dyDescent="0.25">
      <c r="A307" s="53" t="str">
        <f>IF((Contemporary!D275&lt;&gt;""),(CONCATENATE(Contemporary!D275,",",Contemporary!E275,",",Contemporary!G275,",",Contemporary!H275,",",Contemporary!P275,",",Contemporary!Q275,",",Contemporary!R275,",",Contemporary!T275,",",Contemporary!W275,",",Contemporary!B275,",",SUBSTITUTE(B307,",","%2c"),",",IF(Contemporary!K275&lt;&gt;"",Contemporary!K275,CONCATENATE(Contemporary!H275,";",Contemporary!I275)),",",Spotify!A294)),"")</f>
        <v>The Sound Of Silence,Simon and Garfunkel,1964,Folk,184,34,38,69,71,,,christmas;adult standards;acoustic;slow;oldies;retro;alternative;folk,1Ehdm1PDlKrdfyBsjwEvd1</v>
      </c>
    </row>
    <row r="308" spans="1:1" ht="13.5" x14ac:dyDescent="0.25">
      <c r="A308" s="53" t="str">
        <f>IF((Contemporary!D276&lt;&gt;""),(CONCATENATE(Contemporary!D276,",",Contemporary!E276,",",Contemporary!G276,",",Contemporary!H276,",",Contemporary!P276,",",Contemporary!Q276,",",Contemporary!R276,",",Contemporary!T276,",",Contemporary!W276,",",Contemporary!B276,",",SUBSTITUTE(B308,",","%2c"),",",IF(Contemporary!K276&lt;&gt;"",Contemporary!K276,CONCATENATE(Contemporary!H276,";",Contemporary!I276)),",",Spotify!A295)),"")</f>
        <v>The Temple Of The King,Rainbow,1975,Rock,143,84,77,92,87,WIP,,pop;alternative;groovy,6I9VzXrHxO9rA9A5euc8Ak</v>
      </c>
    </row>
    <row r="309" spans="1:1" ht="13.5" x14ac:dyDescent="0.25">
      <c r="A309" s="53" t="str">
        <f>IF((Contemporary!D277&lt;&gt;""),(CONCATENATE(Contemporary!D277,",",Contemporary!E277,",",Contemporary!G277,",",Contemporary!H277,",",Contemporary!P277,",",Contemporary!Q277,",",Contemporary!R277,",",Contemporary!T277,",",Contemporary!W277,",",Contemporary!B277,",",SUBSTITUTE(B309,",","%2c"),",",IF(Contemporary!K277&lt;&gt;"",Contemporary!K277,CONCATENATE(Contemporary!H277,";",Contemporary!I277)),",",Spotify!A296)),"")</f>
        <v>The Tide Is High,Blondie,1980,Reggae,125,85,48,94,77,,,classic rock;psychedelic rock;groovy;dance;acoustic;alternative;sweet;love,5ZBeML7Lf3FMEVviTyvi8l</v>
      </c>
    </row>
    <row r="310" spans="1:1" ht="13.5" x14ac:dyDescent="0.25">
      <c r="A310" s="53" t="str">
        <f>IF((Contemporary!D278&lt;&gt;""),(CONCATENATE(Contemporary!D278,",",Contemporary!E278,",",Contemporary!G278,",",Contemporary!H278,",",Contemporary!P278,",",Contemporary!Q278,",",Contemporary!R278,",",Contemporary!T278,",",Contemporary!W278,",",Contemporary!B278,",",SUBSTITUTE(B310,",","%2c"),",",IF(Contemporary!K278&lt;&gt;"",Contemporary!K278,CONCATENATE(Contemporary!H278,";",Contemporary!I278)),",",Spotify!A297)),"")</f>
        <v>The Times They Are A-Changin',Bob Dylan,1964,Folk,168,23,51,47,44,,,;oldies;retro;acoustic;folk,0Am4hsFXTqFeX1thMW6xAY</v>
      </c>
    </row>
    <row r="311" spans="1:1" ht="13.5" x14ac:dyDescent="0.25">
      <c r="A311" s="53" t="str">
        <f>IF((Contemporary!D279&lt;&gt;""),(CONCATENATE(Contemporary!D279,",",Contemporary!E279,",",Contemporary!G279,",",Contemporary!H279,",",Contemporary!P279,",",Contemporary!Q279,",",Contemporary!R279,",",Contemporary!T279,",",Contemporary!W279,",",Contemporary!B279,",",SUBSTITUTE(B311,",","%2c"),",",IF(Contemporary!K279&lt;&gt;"",Contemporary!K279,CONCATENATE(Contemporary!H279,";",Contemporary!I279)),",",Spotify!A298)),"")</f>
        <v>The Way,Fastball,1998,Alternative,85,35,56,46,87,WIP,,funk rock;alternative rock;rock;,3d9DChrdc6BOeFsbrZ3Is0</v>
      </c>
    </row>
    <row r="312" spans="1:1" ht="13.5" x14ac:dyDescent="0.25">
      <c r="A312" s="53" t="str">
        <f>IF((Contemporary!D280&lt;&gt;""),(CONCATENATE(Contemporary!D280,",",Contemporary!E280,",",Contemporary!G280,",",Contemporary!H280,",",Contemporary!P280,",",Contemporary!Q280,",",Contemporary!R280,",",Contemporary!T280,",",Contemporary!W280,",",Contemporary!B280,",",SUBSTITUTE(B312,",","%2c"),",",IF(Contemporary!K280&lt;&gt;"",Contemporary!K280,CONCATENATE(Contemporary!H280,";",Contemporary!I280)),",",Spotify!A299)),"")</f>
        <v>The Way I Am,Ingrid Michaelson,2007,Folk,100,47,73,83,72,WIP,,;slow;acoustic;groovy;love,6oYkwjI1TKP9D0Y9II1GT7</v>
      </c>
    </row>
    <row r="313" spans="1:1" ht="13.5" x14ac:dyDescent="0.25">
      <c r="A313" s="53" t="str">
        <f>IF((Contemporary!D281&lt;&gt;""),(CONCATENATE(Contemporary!D281,",",Contemporary!E281,",",Contemporary!G281,",",Contemporary!H281,",",Contemporary!P281,",",Contemporary!Q281,",",Contemporary!R281,",",Contemporary!T281,",",Contemporary!W281,",",Contemporary!B281,",",SUBSTITUTE(B313,",","%2c"),",",IF(Contemporary!K281&lt;&gt;"",Contemporary!K281,CONCATENATE(Contemporary!H281,";",Contemporary!I281)),",",Spotify!A300)),"")</f>
        <v>The Way You Look Tonight,Frank Sinatra,1961,Jazz,99,22,50,38,0,,,soft rock;jazz;acoustic;groovy;oldies;retro;love,7jreWLyOSmYumdQtttnO4g</v>
      </c>
    </row>
    <row r="314" spans="1:1" ht="13.5" x14ac:dyDescent="0.25">
      <c r="A314" s="53" t="str">
        <f>IF((Contemporary!D282&lt;&gt;""),(CONCATENATE(Contemporary!D282,",",Contemporary!E282,",",Contemporary!G282,",",Contemporary!H282,",",Contemporary!P282,",",Contemporary!Q282,",",Contemporary!R282,",",Contemporary!T282,",",Contemporary!W282,",",Contemporary!B282,",",SUBSTITUTE(B314,",","%2c"),",",IF(Contemporary!K282&lt;&gt;"",Contemporary!K282,CONCATENATE(Contemporary!H282,";",Contemporary!I282)),",",Spotify!A301)),"")</f>
        <v>The Way You Make Me Feel,Michael Jackson,1987,RnB,101,51,54,23,79,,,;dance;love;groovy,0T5iIrXA4p5GsubkhuBIKV</v>
      </c>
    </row>
    <row r="315" spans="1:1" ht="13.5" x14ac:dyDescent="0.25">
      <c r="A315" s="53" t="str">
        <f>IF((Contemporary!D283&lt;&gt;""),(CONCATENATE(Contemporary!D283,",",Contemporary!E283,",",Contemporary!G283,",",Contemporary!H283,",",Contemporary!P283,",",Contemporary!Q283,",",Contemporary!R283,",",Contemporary!T283,",",Contemporary!W283,",",Contemporary!B283,",",SUBSTITUTE(B315,",","%2c"),",",IF(Contemporary!K283&lt;&gt;"",Contemporary!K283,CONCATENATE(Contemporary!H283,";",Contemporary!I283)),",",Spotify!A302)),"")</f>
        <v>The Winner Takes It All,ABBA,1980,Pop,129,94,70,79,85,,,soft rock;retro;oldies;jive;dance;groovy,5zA8vzDGqPl2AzZkEYQGKh</v>
      </c>
    </row>
    <row r="316" spans="1:1" ht="13.5" x14ac:dyDescent="0.25">
      <c r="A316" s="53" t="str">
        <f>IF((Contemporary!D284&lt;&gt;""),(CONCATENATE(Contemporary!D284,",",Contemporary!E284,",",Contemporary!G284,",",Contemporary!H284,",",Contemporary!P284,",",Contemporary!Q284,",",Contemporary!R284,",",Contemporary!T284,",",Contemporary!W284,",",Contemporary!B284,",",SUBSTITUTE(B316,",","%2c"),",",IF(Contemporary!K284&lt;&gt;"",Contemporary!K284,CONCATENATE(Contemporary!H284,";",Contemporary!I284)),",",Spotify!A303)),"")</f>
        <v>There She Goes,Sixpence None The Richer,2002,Rock,106,83,70,89,84,,,;acoustic;alternative;groovy;love,6kopmMZiyLmw7h66uXcXR7</v>
      </c>
    </row>
    <row r="317" spans="1:1" ht="13.5" x14ac:dyDescent="0.25">
      <c r="A317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317,",","%2c"),",",IF(Contemporary!#REF!&lt;&gt;"",Contemporary!#REF!,CONCATENATE(Contemporary!#REF!,";",Contemporary!#REF!)),",",Spotify!A304)),"")</f>
        <v>#REF!</v>
      </c>
    </row>
    <row r="318" spans="1:1" ht="13.5" x14ac:dyDescent="0.25">
      <c r="A318" s="53" t="str">
        <f>IF((Contemporary!D285&lt;&gt;""),(CONCATENATE(Contemporary!D285,",",Contemporary!E285,",",Contemporary!G285,",",Contemporary!H285,",",Contemporary!P285,",",Contemporary!Q285,",",Contemporary!R285,",",Contemporary!T285,",",Contemporary!W285,",",Contemporary!B285,",",SUBSTITUTE(B318,",","%2c"),",",IF(Contemporary!K285&lt;&gt;"",Contemporary!K285,CONCATENATE(Contemporary!H285,";",Contemporary!I285)),",",Spotify!A305)),"")</f>
        <v>Thinking Out Loud,Ed Sheeran,2014,Rock,128,76,69,96,71,,,nederpop;slow;acoustic;alternative;love,0Z3xhSOhrawLV81YdiDiiJ</v>
      </c>
    </row>
    <row r="319" spans="1:1" ht="13.5" x14ac:dyDescent="0.25">
      <c r="A319" s="53" t="str">
        <f>IF((Contemporary!D286&lt;&gt;""),(CONCATENATE(Contemporary!D286,",",Contemporary!E286,",",Contemporary!G286,",",Contemporary!H286,",",Contemporary!P286,",",Contemporary!Q286,",",Contemporary!R286,",",Contemporary!T286,",",Contemporary!W286,",",Contemporary!B286,",",SUBSTITUTE(B319,",","%2c"),",",IF(Contemporary!K286&lt;&gt;"",Contemporary!K286,CONCATENATE(Contemporary!H286,";",Contemporary!I286)),",",Spotify!A306)),"")</f>
        <v>This Is The Life,Amy MacDonald,2007,Rock,138,62,49,42,88,WIP,,;dance;fast;alternative;acoustic,1mea3bSkSGXuIRvnydlB5b</v>
      </c>
    </row>
    <row r="320" spans="1:1" ht="13.5" x14ac:dyDescent="0.25">
      <c r="A320" s="53" t="str">
        <f>IF((Contemporary!D287&lt;&gt;""),(CONCATENATE(Contemporary!D287,",",Contemporary!E287,",",Contemporary!G287,",",Contemporary!H287,",",Contemporary!P287,",",Contemporary!Q287,",",Contemporary!R287,",",Contemporary!T287,",",Contemporary!W287,",",Contemporary!B287,",",SUBSTITUTE(B320,",","%2c"),",",IF(Contemporary!K287&lt;&gt;"",Contemporary!K287,CONCATENATE(Contemporary!H287,";",Contemporary!I287)),",",Spotify!A307)),"")</f>
        <v>This Love,Maroon 5,2004,Rock,124,78,53,64,88,,,edm;alternative;groovy;love,0nrRP2bk19rLc0orkWPQk2</v>
      </c>
    </row>
    <row r="321" spans="1:1" ht="13.5" x14ac:dyDescent="0.25">
      <c r="A321" s="53" t="str">
        <f>IF((Contemporary!D288&lt;&gt;""),(CONCATENATE(Contemporary!D288,",",Contemporary!E288,",",Contemporary!G288,",",Contemporary!H288,",",Contemporary!P288,",",Contemporary!Q288,",",Contemporary!R288,",",Contemporary!T288,",",Contemporary!W288,",",Contemporary!B288,",",SUBSTITUTE(B321,",","%2c"),",",IF(Contemporary!K288&lt;&gt;"",Contemporary!K288,CONCATENATE(Contemporary!H288,";",Contemporary!I288)),",",Spotify!A308)),"")</f>
        <v>Those Were The Days,Mary Hopkin,1969,Folk,105,81,55,15,83,WIP,,punk;pop punk;alternative;retro;oldies;dance,3ZffCQKLFLUvYM59XKLbVm</v>
      </c>
    </row>
    <row r="322" spans="1:1" ht="13.5" x14ac:dyDescent="0.25">
      <c r="A322" s="53" t="str">
        <f>IF((Contemporary!D289&lt;&gt;""),(CONCATENATE(Contemporary!D289,",",Contemporary!E289,",",Contemporary!G289,",",Contemporary!H289,",",Contemporary!P289,",",Contemporary!Q289,",",Contemporary!R289,",",Contemporary!T289,",",Contemporary!W289,",",Contemporary!B289,",",SUBSTITUTE(B322,",","%2c"),",",IF(Contemporary!K289&lt;&gt;"",Contemporary!K289,CONCATENATE(Contemporary!H289,";",Contemporary!I289)),",",Spotify!A309)),"")</f>
        <v>Til There Was You,Beatles,1963,Rock,95,82,55,56,87,,,;oldies;retro;love;dance;acoustic,6UelLqGlWMcVH1E5c4H7lY</v>
      </c>
    </row>
    <row r="323" spans="1:1" ht="13.5" x14ac:dyDescent="0.25">
      <c r="A323" s="53" t="str">
        <f>IF((Contemporary!D290&lt;&gt;""),(CONCATENATE(Contemporary!D290,",",Contemporary!E290,",",Contemporary!G290,",",Contemporary!H290,",",Contemporary!P290,",",Contemporary!Q290,",",Contemporary!R290,",",Contemporary!T290,",",Contemporary!W290,",",Contemporary!B290,",",SUBSTITUTE(B323,",","%2c"),",",IF(Contemporary!K290&lt;&gt;"",Contemporary!K290,CONCATENATE(Contemporary!H290,";",Contemporary!I290)),",",Spotify!A310)),"")</f>
        <v>Time After Time,Eva Cassidy,1984,Pop,77,17,27,20,78,WIP,,jazz;swing music;vocal jazz;big band;slow;love;acoustic,29U7stRjqHU6rMiS8BfaI9</v>
      </c>
    </row>
    <row r="324" spans="1:1" ht="13.5" x14ac:dyDescent="0.25">
      <c r="A324" s="53" t="str">
        <f>IF((Contemporary!D291&lt;&gt;""),(CONCATENATE(Contemporary!D291,",",Contemporary!E291,",",Contemporary!G291,",",Contemporary!H291,",",Contemporary!P291,",",Contemporary!Q291,",",Contemporary!R291,",",Contemporary!T291,",",Contemporary!W291,",",Contemporary!B291,",",SUBSTITUTE(B324,",","%2c"),",",IF(Contemporary!K291&lt;&gt;"",Contemporary!K291,CONCATENATE(Contemporary!H291,";",Contemporary!I291)),",",Spotify!A311)),"")</f>
        <v>Time In A Bottle,Jim Croce,1972,Rock,134,56,57,45,86,WIP,,;oldies;retro;slow;acoustic;love,0jWgAnTrNZmOGmqgvHhZEm</v>
      </c>
    </row>
    <row r="325" spans="1:1" ht="13.5" x14ac:dyDescent="0.25">
      <c r="A325" s="53" t="str">
        <f>IF((Contemporary!D292&lt;&gt;""),(CONCATENATE(Contemporary!D292,",",Contemporary!E292,",",Contemporary!G292,",",Contemporary!H292,",",Contemporary!P292,",",Contemporary!Q292,",",Contemporary!R292,",",Contemporary!T292,",",Contemporary!W292,",",Contemporary!B292,",",SUBSTITUTE(B325,",","%2c"),",",IF(Contemporary!K292&lt;&gt;"",Contemporary!K292,CONCATENATE(Contemporary!H292,";",Contemporary!I292)),",",Spotify!A312)),"")</f>
        <v>Titanium,Sia,2011,House,174,45,46,42,72,,,;alternative;groovy;dance,0gcjc7Vt5xtcfmJgf6g2IO</v>
      </c>
    </row>
    <row r="326" spans="1:1" ht="13.5" x14ac:dyDescent="0.25">
      <c r="A326" s="53" t="str">
        <f>IF((Contemporary!D293&lt;&gt;""),(CONCATENATE(Contemporary!D293,",",Contemporary!E293,",",Contemporary!G293,",",Contemporary!H293,",",Contemporary!P293,",",Contemporary!Q293,",",Contemporary!R293,",",Contemporary!T293,",",Contemporary!W293,",",Contemporary!B293,",",SUBSTITUTE(B326,",","%2c"),",",IF(Contemporary!K293&lt;&gt;"",Contemporary!K293,CONCATENATE(Contemporary!H293,";",Contemporary!I293)),",",Spotify!A313)),"")</f>
        <v>To Be With You,Mr Big,2001,Rock,130,99,47,32,81,,,alternative rock;alternative;acoustic;dance;love,70wYA8oYHoMzhRRkARoMhU</v>
      </c>
    </row>
    <row r="327" spans="1:1" ht="13.5" x14ac:dyDescent="0.25">
      <c r="A327" s="53" t="str">
        <f>IF((Contemporary!D294&lt;&gt;""),(CONCATENATE(Contemporary!D294,",",Contemporary!E294,",",Contemporary!G294,",",Contemporary!H294,",",Contemporary!P294,",",Contemporary!Q294,",",Contemporary!R294,",",Contemporary!T294,",",Contemporary!W294,",",Contemporary!B294,",",SUBSTITUTE(B327,",","%2c"),",",IF(Contemporary!K294&lt;&gt;"",Contemporary!K294,CONCATENATE(Contemporary!H294,";",Contemporary!I294)),",",Spotify!A314)),"")</f>
        <v>Top Of The World,Carpenters,1972,Pop,108,83,79,87,80,,,latin pop;oldies;retro;dance;love;fast;sweet,2lnzGkdtDj5mtlcOW2yRtG</v>
      </c>
    </row>
    <row r="328" spans="1:1" ht="13.5" x14ac:dyDescent="0.25">
      <c r="A328" s="53" t="str">
        <f>IF((Contemporary!D295&lt;&gt;""),(CONCATENATE(Contemporary!D295,",",Contemporary!E295,",",Contemporary!G295,",",Contemporary!H295,",",Contemporary!P295,",",Contemporary!Q295,",",Contemporary!R295,",",Contemporary!T295,",",Contemporary!W295,",",Contemporary!B295,",",SUBSTITUTE(B328,",","%2c"),",",IF(Contemporary!K295&lt;&gt;"",Contemporary!K295,CONCATENATE(Contemporary!H295,";",Contemporary!I295)),",",Spotify!A315)),"")</f>
        <v>Toxic,Britney Spears,2003,Pop,170,54,51,28,66,,,;groovy;dance;acoustic;alternative;love;fast,3adnLFXKO5rC1lhUNSeg3N</v>
      </c>
    </row>
    <row r="329" spans="1:1" ht="13.5" x14ac:dyDescent="0.25">
      <c r="A329" s="53" t="str">
        <f>IF((Contemporary!D296&lt;&gt;""),(CONCATENATE(Contemporary!D296,",",Contemporary!E296,",",Contemporary!G296,",",Contemporary!H296,",",Contemporary!P296,",",Contemporary!Q296,",",Contemporary!R296,",",Contemporary!T296,",",Contemporary!W296,",",Contemporary!B296,",",SUBSTITUTE(B329,",","%2c"),",",IF(Contemporary!K296&lt;&gt;"",Contemporary!K296,CONCATENATE(Contemporary!H296,";",Contemporary!I296)),",",Spotify!A316)),"")</f>
        <v>Twist And Shout,Beatles,1961,Rock,112,30,66,36,86,WIP,,;dance;fast;groocy;retro;oldies,7w5AOd6HrDIHewHfpABEss</v>
      </c>
    </row>
    <row r="330" spans="1:1" ht="13.5" x14ac:dyDescent="0.25">
      <c r="A330" s="53" t="str">
        <f>IF((Contemporary!D297&lt;&gt;""),(CONCATENATE(Contemporary!D297,",",Contemporary!E297,",",Contemporary!G297,",",Contemporary!H297,",",Contemporary!P297,",",Contemporary!Q297,",",Contemporary!R297,",",Contemporary!T297,",",Contemporary!W297,",",Contemporary!B297,",",SUBSTITUTE(B330,",","%2c"),",",IF(Contemporary!K297&lt;&gt;"",Contemporary!K297,CONCATENATE(Contemporary!H297,";",Contemporary!I297)),",",Spotify!A317)),"")</f>
        <v>Umbrella,Rihanna,2007,Pop,152,51,48,55,0,,,folk rock;folk;singer-songwriter;groovy;dance;alternative;love,4amVKQVSct5Nn5WLMNsKEV</v>
      </c>
    </row>
    <row r="331" spans="1:1" ht="13.5" x14ac:dyDescent="0.25">
      <c r="A331" s="53" t="str">
        <f>IF((Contemporary!D298&lt;&gt;""),(CONCATENATE(Contemporary!D298,",",Contemporary!E298,",",Contemporary!G298,",",Contemporary!H298,",",Contemporary!P298,",",Contemporary!Q298,",",Contemporary!R298,",",Contemporary!T298,",",Contemporary!W298,",",Contemporary!B298,",",SUBSTITUTE(B331,",","%2c"),",",IF(Contemporary!K298&lt;&gt;"",Contemporary!K298,CONCATENATE(Contemporary!H298,";",Contemporary!I298)),",",Spotify!A318)),"")</f>
        <v>Under The Bridge,Red Hot Chili Peppers,1991,Alternative,152,70,63,63,56,,,;alternative;groovy;acoustic,3fl78noR9kt12JYKuTAP4a</v>
      </c>
    </row>
    <row r="332" spans="1:1" ht="13.5" x14ac:dyDescent="0.25">
      <c r="A332" s="53" t="str">
        <f>IF((Contemporary!D299&lt;&gt;""),(CONCATENATE(Contemporary!D299,",",Contemporary!E299,",",Contemporary!G299,",",Contemporary!H299,",",Contemporary!P299,",",Contemporary!Q299,",",Contemporary!R299,",",Contemporary!T299,",",Contemporary!W299,",",Contemporary!B299,",",SUBSTITUTE(B332,",","%2c"),",",IF(Contemporary!K299&lt;&gt;"",Contemporary!K299,CONCATENATE(Contemporary!H299,";",Contemporary!I299)),",",Spotify!A319)),"")</f>
        <v>Under The Sea,Disney,1991,Soundtrack,123,26,48,38,84,WIP,,progressive rock;psychedelic rock;classic rock;art rock;rock;dance;fast;groovy,6mFkJmJqdDVQ1REhVfGgd1</v>
      </c>
    </row>
    <row r="333" spans="1:1" ht="13.5" x14ac:dyDescent="0.25">
      <c r="A333" s="53" t="str">
        <f>IF((Contemporary!D300&lt;&gt;""),(CONCATENATE(Contemporary!D300,",",Contemporary!E300,",",Contemporary!G300,",",Contemporary!H300,",",Contemporary!P300,",",Contemporary!Q300,",",Contemporary!R300,",",Contemporary!T300,",",Contemporary!W300,",",Contemporary!B300,",",SUBSTITUTE(B333,",","%2c"),",",IF(Contemporary!K300&lt;&gt;"",Contemporary!K300,CONCATENATE(Contemporary!H300,";",Contemporary!I300)),",",Spotify!A320)),"")</f>
        <v>Until,Sting,2001,Soundtrack,110,54,55,12,58,WIP,,rock;love;slow;acoustic;waltz,6QPhpvO1pWDS91EsEmzsbc</v>
      </c>
    </row>
    <row r="334" spans="1:1" ht="13.5" x14ac:dyDescent="0.25">
      <c r="A334" s="53" t="str">
        <f>IF((Contemporary!D301&lt;&gt;""),(CONCATENATE(Contemporary!D301,",",Contemporary!E301,",",Contemporary!G301,",",Contemporary!H301,",",Contemporary!P301,",",Contemporary!Q301,",",Contemporary!R301,",",Contemporary!T301,",",Contemporary!W301,",",Contemporary!B301,",",SUBSTITUTE(B334,",","%2c"),",",IF(Contemporary!K301&lt;&gt;"",Contemporary!K301,CONCATENATE(Contemporary!H301,";",Contemporary!I301)),",",Spotify!A321)),"")</f>
        <v>Until I Found You,Stephen Sanchez,2022,Alternative,96,21,57,49,73,WIP,,blues;blues rock;classic rock;slow;acoustic;alternative;love,6zC0mpGYwbNTpk9SKwh08f</v>
      </c>
    </row>
    <row r="335" spans="1:1" ht="13.5" x14ac:dyDescent="0.25">
      <c r="A335" s="53" t="str">
        <f>IF((Contemporary!D302&lt;&gt;""),(CONCATENATE(Contemporary!D302,",",Contemporary!E302,",",Contemporary!G302,",",Contemporary!H302,",",Contemporary!P302,",",Contemporary!Q302,",",Contemporary!R302,",",Contemporary!T302,",",Contemporary!W302,",",Contemporary!B302,",",SUBSTITUTE(B335,",","%2c"),",",IF(Contemporary!K302&lt;&gt;"",Contemporary!K302,CONCATENATE(Contemporary!H302,";",Contemporary!I302)),",",Spotify!A322)),"")</f>
        <v>Uptown Girl,Billy Joel,1983,Rock,175,85,41,46,78,,,britpop;madchester;dance;fast;acoustic;love,1qPbGZqppFwLwcBC1JQ6Vr</v>
      </c>
    </row>
    <row r="336" spans="1:1" ht="13.5" x14ac:dyDescent="0.25">
      <c r="A336" s="53" t="str">
        <f>IF((Contemporary!D303&lt;&gt;""),(CONCATENATE(Contemporary!D303,",",Contemporary!E303,",",Contemporary!G303,",",Contemporary!H303,",",Contemporary!P303,",",Contemporary!Q303,",",Contemporary!R303,",",Contemporary!T303,",",Contemporary!W303,",",Contemporary!B303,",",SUBSTITUTE(B336,",","%2c"),",",IF(Contemporary!K303&lt;&gt;"",Contemporary!K303,CONCATENATE(Contemporary!H303,";",Contemporary!I303)),",",Spotify!A323)),"")</f>
        <v>Valerie,Amy Winehouse ft. Mark Ronson,2007,Pop,173,66,43,29,92,,,;dance;fast;acoustic;love,3AJwUDP919kvQ9QcozQPxg</v>
      </c>
    </row>
    <row r="337" spans="1:1" ht="13.5" x14ac:dyDescent="0.25">
      <c r="A337" s="53" t="str">
        <f>IF((Contemporary!D304&lt;&gt;""),(CONCATENATE(Contemporary!D304,",",Contemporary!E304,",",Contemporary!G304,",",Contemporary!H304,",",Contemporary!P304,",",Contemporary!Q304,",",Contemporary!R304,",",Contemporary!T304,",",Contemporary!W304,",",Contemporary!B304,",",SUBSTITUTE(B337,",","%2c"),",",IF(Contemporary!K304&lt;&gt;"",Contemporary!K304,CONCATENATE(Contemporary!H304,";",Contemporary!I304)),",",Spotify!A324)),"")</f>
        <v>Vanilla Twilight,Owl City,2010,Pop,97,18,33,32,78,WIP,,classic rock;psychedelic rock;alternative;acoustic;groovy,3BQHpFgAp4l80e1XslIjNI</v>
      </c>
    </row>
    <row r="338" spans="1:1" ht="13.5" x14ac:dyDescent="0.25">
      <c r="A338" s="53" t="str">
        <f>IF((Contemporary!D305&lt;&gt;""),(CONCATENATE(Contemporary!D305,",",Contemporary!E305,",",Contemporary!G305,",",Contemporary!H305,",",Contemporary!P305,",",Contemporary!Q305,",",Contemporary!R305,",",Contemporary!T305,",",Contemporary!W305,",",Contemporary!B305,",",SUBSTITUTE(B338,",","%2c"),",",IF(Contemporary!K305&lt;&gt;"",Contemporary!K305,CONCATENATE(Contemporary!H305,";",Contemporary!I305)),",",Spotify!A325)),"")</f>
        <v>Venus,Shocking Blue,1969,Pop,140,43,46,35,78,WIP,,post-grunge;dance;fast;love;groovy;oldies;retro,0815caqt2Lytro5EIzMufT</v>
      </c>
    </row>
    <row r="339" spans="1:1" ht="13.5" x14ac:dyDescent="0.25">
      <c r="A339" s="53" t="str">
        <f>IF((Contemporary!D306&lt;&gt;""),(CONCATENATE(Contemporary!D306,",",Contemporary!E306,",",Contemporary!G306,",",Contemporary!H306,",",Contemporary!P306,",",Contemporary!Q306,",",Contemporary!R306,",",Contemporary!T306,",",Contemporary!W306,",",Contemporary!B306,",",SUBSTITUTE(B339,",","%2c"),",",IF(Contemporary!K306&lt;&gt;"",Contemporary!K306,CONCATENATE(Contemporary!H306,";",Contemporary!I306)),",",Spotify!A326)),"")</f>
        <v>Viva La Vida,Coldplay,2008,Pop,100,91,55,46,32,,,;groovy;dance;fast,5Y9bUw2zFRTwufHt6S49FG</v>
      </c>
    </row>
    <row r="340" spans="1:1" ht="13.5" x14ac:dyDescent="0.25">
      <c r="A340" s="53" t="str">
        <f>IF((Contemporary!D307&lt;&gt;""),(CONCATENATE(Contemporary!D307,",",Contemporary!E307,",",Contemporary!G307,",",Contemporary!H307,",",Contemporary!P307,",",Contemporary!Q307,",",Contemporary!R307,",",Contemporary!T307,",",Contemporary!W307,",",Contemporary!B307,",",SUBSTITUTE(B340,",","%2c"),",",IF(Contemporary!K307&lt;&gt;"",Contemporary!K307,CONCATENATE(Contemporary!H307,";",Contemporary!I307)),",",Spotify!A327)),"")</f>
        <v>Wake Me Up,Avicii,2013,House,128,32,55,32,81,WIP,,;dance;fast;love,38zsOOcu31XbbYj9BIPUF1</v>
      </c>
    </row>
    <row r="341" spans="1:1" ht="13.5" x14ac:dyDescent="0.25">
      <c r="A341" s="53" t="str">
        <f>IF((Contemporary!D308&lt;&gt;""),(CONCATENATE(Contemporary!D308,",",Contemporary!E308,",",Contemporary!G308,",",Contemporary!H308,",",Contemporary!P308,",",Contemporary!Q308,",",Contemporary!R308,",",Contemporary!T308,",",Contemporary!W308,",",Contemporary!B308,",",SUBSTITUTE(B341,",","%2c"),",",IF(Contemporary!K308&lt;&gt;"",Contemporary!K308,CONCATENATE(Contemporary!H308,";",Contemporary!I308)),",",Spotify!A328)),"")</f>
        <v>Wake Me Up When September Ends,Green Day,2005,Rock,82,48,68,45,78,,,;acoustic;alternative;slow,0vg4WnUWvze6pBOJDTq99k</v>
      </c>
    </row>
    <row r="342" spans="1:1" ht="13.5" x14ac:dyDescent="0.25">
      <c r="A342" s="53" t="str">
        <f>IF((Contemporary!D309&lt;&gt;""),(CONCATENATE(Contemporary!D309,",",Contemporary!E309,",",Contemporary!G309,",",Contemporary!H309,",",Contemporary!P309,",",Contemporary!Q309,",",Contemporary!R309,",",Contemporary!T309,",",Contemporary!W309,",",Contemporary!B309,",",SUBSTITUTE(B342,",","%2c"),",",IF(Contemporary!K309&lt;&gt;"",Contemporary!K309,CONCATENATE(Contemporary!H309,";",Contemporary!I309)),",",Spotify!A329)),"")</f>
        <v>Watermelon Sugar,Harry Styles,2019,Pop,134,49,59,63,75,,,country;dance;fast;love;groovy;acoustic,1wb4P4F0sxAQ2KXrRvsx6n</v>
      </c>
    </row>
    <row r="343" spans="1:1" ht="13.5" x14ac:dyDescent="0.25">
      <c r="A343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343,",","%2c"),",",IF(Contemporary!#REF!&lt;&gt;"",Contemporary!#REF!,CONCATENATE(Contemporary!#REF!,";",Contemporary!#REF!)),",",Spotify!A330)),"")</f>
        <v>#REF!</v>
      </c>
    </row>
    <row r="344" spans="1:1" ht="13.5" x14ac:dyDescent="0.25">
      <c r="A344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344,",","%2c"),",",IF(Contemporary!#REF!&lt;&gt;"",Contemporary!#REF!,CONCATENATE(Contemporary!#REF!,";",Contemporary!#REF!)),",",Spotify!A331)),"")</f>
        <v>#REF!</v>
      </c>
    </row>
    <row r="345" spans="1:1" ht="13.5" x14ac:dyDescent="0.25">
      <c r="A345" s="53" t="e">
        <f>IF((Contemporary!#REF!&lt;&gt;""),(CONCATENATE(Contemporary!#REF!,",",Contemporary!#REF!,",",Contemporary!#REF!,",",Contemporary!#REF!,",",Contemporary!#REF!,",",Contemporary!#REF!,",",Contemporary!#REF!,",",Contemporary!#REF!,",",Contemporary!#REF!,",",Contemporary!#REF!,",",SUBSTITUTE(B345,",","%2c"),",",IF(Contemporary!#REF!&lt;&gt;"",Contemporary!#REF!,CONCATENATE(Contemporary!#REF!,";",Contemporary!#REF!)),",",Spotify!#REF!)),"")</f>
        <v>#REF!</v>
      </c>
    </row>
    <row r="346" spans="1:1" ht="13.5" x14ac:dyDescent="0.25">
      <c r="A346" s="53" t="str">
        <f>IF((Contemporary!D310&lt;&gt;""),(CONCATENATE(Contemporary!D310,",",Contemporary!E310,",",Contemporary!G310,",",Contemporary!H310,",",Contemporary!P310,",",Contemporary!Q310,",",Contemporary!R310,",",Contemporary!T310,",",Contemporary!W310,",",Contemporary!B310,",",SUBSTITUTE(B346,",","%2c"),",",IF(Contemporary!K310&lt;&gt;"",Contemporary!K310,CONCATENATE(Contemporary!H310,";",Contemporary!I310)),",",Spotify!A332)),"")</f>
        <v>What A Wonderful World,Louis Armstrong,1967,Pop,0,0,0,0,0,,,;slow;acoustic;oldies;retro;love;waltz,</v>
      </c>
    </row>
    <row r="347" spans="1:1" ht="13.5" x14ac:dyDescent="0.25">
      <c r="A347" s="53" t="str">
        <f>IF((Contemporary!D311&lt;&gt;""),(CONCATENATE(Contemporary!D311,",",Contemporary!E311,",",Contemporary!G311,",",Contemporary!H311,",",Contemporary!P311,",",Contemporary!Q311,",",Contemporary!R311,",",Contemporary!T311,",",Contemporary!W311,",",Contemporary!B311,",",SUBSTITUTE(B347,",","%2c"),",",IF(Contemporary!K311&lt;&gt;"",Contemporary!K311,CONCATENATE(Contemporary!H311,";",Contemporary!I311)),",",Spotify!A333)),"")</f>
        <v>What's Up,4 Non Blondes,1993,Rock,0,0,0,0,0,,,;slow;groovy;alternative,</v>
      </c>
    </row>
    <row r="348" spans="1:1" ht="13.5" x14ac:dyDescent="0.25">
      <c r="A348" s="53" t="str">
        <f>IF((Contemporary!D312&lt;&gt;""),(CONCATENATE(Contemporary!D312,",",Contemporary!E312,",",Contemporary!G312,",",Contemporary!H312,",",Contemporary!P312,",",Contemporary!Q312,",",Contemporary!R312,",",Contemporary!T312,",",Contemporary!W312,",",Contemporary!B312,",",SUBSTITUTE(B348,",","%2c"),",",IF(Contemporary!K312&lt;&gt;"",Contemporary!K312,CONCATENATE(Contemporary!H312,";",Contemporary!I312)),",",Spotify!A334)),"")</f>
        <v>When You Say Nothing At All,Ronan Keating,1999,Pop,0,0,0,0,0,,,;groovy;dance;love;acoustic,</v>
      </c>
    </row>
    <row r="349" spans="1:1" ht="13.5" x14ac:dyDescent="0.25">
      <c r="A349" s="53" t="str">
        <f>IF((Contemporary!D313&lt;&gt;""),(CONCATENATE(Contemporary!D313,",",Contemporary!E313,",",Contemporary!G313,",",Contemporary!H313,",",Contemporary!P313,",",Contemporary!Q313,",",Contemporary!R313,",",Contemporary!T313,",",Contemporary!W313,",",Contemporary!B313,",",SUBSTITUTE(B349,",","%2c"),",",IF(Contemporary!K313&lt;&gt;"",Contemporary!K313,CONCATENATE(Contemporary!H313,";",Contemporary!I313)),",",Spotify!A335)),"")</f>
        <v>When You Were Young,Killers,2006,Rock,0,0,0,0,0,,,;alternative;acoustic;love,</v>
      </c>
    </row>
    <row r="350" spans="1:1" ht="13.5" x14ac:dyDescent="0.25">
      <c r="A350" s="53" t="str">
        <f>IF((Contemporary!D314&lt;&gt;""),(CONCATENATE(Contemporary!D314,",",Contemporary!E314,",",Contemporary!G314,",",Contemporary!H314,",",Contemporary!P314,",",Contemporary!Q314,",",Contemporary!R314,",",Contemporary!T314,",",Contemporary!W314,",",Contemporary!B314,",",SUBSTITUTE(B350,",","%2c"),",",IF(Contemporary!K314&lt;&gt;"",Contemporary!K314,CONCATENATE(Contemporary!H314,";",Contemporary!I314)),",",Spotify!A336)),"")</f>
        <v>Whenever Wherever,Shakira,2001,Pop,0,0,0,0,0,WIP,,;groovy;dance;fast;love,</v>
      </c>
    </row>
    <row r="351" spans="1:1" ht="13.5" x14ac:dyDescent="0.25">
      <c r="A351" s="53" t="str">
        <f>IF((Contemporary!D315&lt;&gt;""),(CONCATENATE(Contemporary!D315,",",Contemporary!E315,",",Contemporary!G315,",",Contemporary!H315,",",Contemporary!P315,",",Contemporary!Q315,",",Contemporary!R315,",",Contemporary!T315,",",Contemporary!W315,",",Contemporary!B315,",",SUBSTITUTE(B351,",","%2c"),",",IF(Contemporary!K315&lt;&gt;"",Contemporary!K315,CONCATENATE(Contemporary!H315,";",Contemporary!I315)),",",Spotify!A337)),"")</f>
        <v>White Flag,Dido,2003,Pop,0,0,0,0,0,,,;slow;love;acoustic,</v>
      </c>
    </row>
    <row r="352" spans="1:1" ht="13.5" x14ac:dyDescent="0.25">
      <c r="A352" s="53" t="str">
        <f>IF((Contemporary!D316&lt;&gt;""),(CONCATENATE(Contemporary!D316,",",Contemporary!E316,",",Contemporary!G316,",",Contemporary!H316,",",Contemporary!P316,",",Contemporary!Q316,",",Contemporary!R316,",",Contemporary!T316,",",Contemporary!W316,",",Contemporary!B316,",",SUBSTITUTE(B352,",","%2c"),",",IF(Contemporary!K316&lt;&gt;"",Contemporary!K316,CONCATENATE(Contemporary!H316,";",Contemporary!I316)),",",Spotify!A338)),"")</f>
        <v>Wicked Game,Chris Isaak,1988,Rock,0,0,0,0,0,,,;slow;oldies;retro;love;acoustic,</v>
      </c>
    </row>
    <row r="353" spans="1:1" ht="13.5" x14ac:dyDescent="0.25">
      <c r="A353" s="53" t="str">
        <f>IF((Contemporary!D317&lt;&gt;""),(CONCATENATE(Contemporary!D317,",",Contemporary!E317,",",Contemporary!G317,",",Contemporary!H317,",",Contemporary!P317,",",Contemporary!Q317,",",Contemporary!R317,",",Contemporary!T317,",",Contemporary!W317,",",Contemporary!B317,",",SUBSTITUTE(B353,",","%2c"),",",IF(Contemporary!K317&lt;&gt;"",Contemporary!K317,CONCATENATE(Contemporary!H317,";",Contemporary!I317)),",",Spotify!A339)),"")</f>
        <v>Wild World,Cat Stevens,1970,Rock,0,0,0,0,0,,,;slow;oldies;retro;love;acoustic,</v>
      </c>
    </row>
    <row r="354" spans="1:1" ht="13.5" x14ac:dyDescent="0.25">
      <c r="A354" s="53" t="str">
        <f>IF((Contemporary!D318&lt;&gt;""),(CONCATENATE(Contemporary!D318,",",Contemporary!E318,",",Contemporary!G318,",",Contemporary!H318,",",Contemporary!P318,",",Contemporary!Q318,",",Contemporary!R318,",",Contemporary!T318,",",Contemporary!W318,",",Contemporary!B318,",",SUBSTITUTE(B354,",","%2c"),",",IF(Contemporary!K318&lt;&gt;"",Contemporary!K318,CONCATENATE(Contemporary!H318,";",Contemporary!I318)),",",Spotify!A340)),"")</f>
        <v>Wisemen,James Blunt,2004,Pop,0,0,0,0,0,WIP,,;alternative;acoustic;groovy,</v>
      </c>
    </row>
    <row r="355" spans="1:1" ht="13.5" x14ac:dyDescent="0.25">
      <c r="A355" s="53" t="str">
        <f>IF((Contemporary!D319&lt;&gt;""),(CONCATENATE(Contemporary!D319,",",Contemporary!E319,",",Contemporary!G319,",",Contemporary!H319,",",Contemporary!P319,",",Contemporary!Q319,",",Contemporary!R319,",",Contemporary!T319,",",Contemporary!W319,",",Contemporary!B319,",",SUBSTITUTE(B355,",","%2c"),",",IF(Contemporary!K319&lt;&gt;"",Contemporary!K319,CONCATENATE(Contemporary!H319,";",Contemporary!I319)),",",Spotify!A341)),"")</f>
        <v>Wish You Were Here,Pink Floyd,1975,Rock,0,0,0,0,0,WIP,,;slow;acoustic;alternative;love;oldies;retro,</v>
      </c>
    </row>
    <row r="356" spans="1:1" ht="13.5" x14ac:dyDescent="0.25">
      <c r="A356" s="53" t="str">
        <f>IF((Contemporary!D320&lt;&gt;""),(CONCATENATE(Contemporary!D320,",",Contemporary!E320,",",Contemporary!G320,",",Contemporary!H320,",",Contemporary!P320,",",Contemporary!Q320,",",Contemporary!R320,",",Contemporary!T320,",",Contemporary!W320,",",Contemporary!B320,",",SUBSTITUTE(B356,",","%2c"),",",IF(Contemporary!K320&lt;&gt;"",Contemporary!K320,CONCATENATE(Contemporary!H320,";",Contemporary!I320)),",",Spotify!A342)),"")</f>
        <v>With Or Without You,U2,1987,Rock,0,0,0,0,0,,,;slow;acoustic;love,</v>
      </c>
    </row>
    <row r="357" spans="1:1" ht="13.5" x14ac:dyDescent="0.25">
      <c r="A357" s="53" t="str">
        <f>IF((Contemporary!D321&lt;&gt;""),(CONCATENATE(Contemporary!D321,",",Contemporary!E321,",",Contemporary!G321,",",Contemporary!H321,",",Contemporary!P321,",",Contemporary!Q321,",",Contemporary!R321,",",Contemporary!T321,",",Contemporary!W321,",",Contemporary!B321,",",SUBSTITUTE(B357,",","%2c"),",",IF(Contemporary!K321&lt;&gt;"",Contemporary!K321,CONCATENATE(Contemporary!H321,";",Contemporary!I321)),",",Spotify!A343)),"")</f>
        <v>Wonderful Tonight,Eric Clapton,1977,Rock,0,0,0,0,0,,,;slow;acoustic;love;retro;oldies,</v>
      </c>
    </row>
    <row r="358" spans="1:1" ht="13.5" x14ac:dyDescent="0.25">
      <c r="A358" s="53" t="str">
        <f>IF((Contemporary!D322&lt;&gt;""),(CONCATENATE(Contemporary!D322,",",Contemporary!E322,",",Contemporary!G322,",",Contemporary!H322,",",Contemporary!P322,",",Contemporary!Q322,",",Contemporary!R322,",",Contemporary!T322,",",Contemporary!W322,",",Contemporary!B322,",",SUBSTITUTE(B358,",","%2c"),",",IF(Contemporary!K322&lt;&gt;"",Contemporary!K322,CONCATENATE(Contemporary!H322,";",Contemporary!I322)),",",Spotify!A344)),"")</f>
        <v>Wonderwall,Oasis,1995,Pop,0,0,0,0,0,,,;alternative;acoustic;groovy,</v>
      </c>
    </row>
    <row r="359" spans="1:1" ht="13.5" x14ac:dyDescent="0.25">
      <c r="A359" s="53" t="str">
        <f>IF((Contemporary!D323&lt;&gt;""),(CONCATENATE(Contemporary!D323,",",Contemporary!E323,",",Contemporary!G323,",",Contemporary!H323,",",Contemporary!P323,",",Contemporary!Q323,",",Contemporary!R323,",",Contemporary!T323,",",Contemporary!W323,",",Contemporary!B323,",",SUBSTITUTE(B359,",","%2c"),",",IF(Contemporary!K323&lt;&gt;"",Contemporary!K323,CONCATENATE(Contemporary!H323,";",Contemporary!I323)),",",Spotify!A345)),"")</f>
        <v>Yellow,Coldplay,2000,Rock,0,0,0,0,0,,,;slow;dance;alternative;love,</v>
      </c>
    </row>
    <row r="360" spans="1:1" ht="13.5" x14ac:dyDescent="0.25">
      <c r="A360" s="53" t="str">
        <f>IF((Contemporary!D324&lt;&gt;""),(CONCATENATE(Contemporary!D324,",",Contemporary!E324,",",Contemporary!G324,",",Contemporary!H324,",",Contemporary!P324,",",Contemporary!Q324,",",Contemporary!R324,",",Contemporary!T324,",",Contemporary!W324,",",Contemporary!B324,",",SUBSTITUTE(B360,",","%2c"),",",IF(Contemporary!K324&lt;&gt;"",Contemporary!K324,CONCATENATE(Contemporary!H324,";",Contemporary!I324)),",",Spotify!A346)),"")</f>
        <v>Yesterday,Beatles,1965,Pop,0,0,0,0,0,,,;oldies;retro;acoustic,</v>
      </c>
    </row>
    <row r="361" spans="1:1" ht="13.5" x14ac:dyDescent="0.25">
      <c r="A361" s="53" t="str">
        <f>IF((Contemporary!D325&lt;&gt;""),(CONCATENATE(Contemporary!D325,",",Contemporary!E325,",",Contemporary!G325,",",Contemporary!H325,",",Contemporary!P325,",",Contemporary!Q325,",",Contemporary!R325,",",Contemporary!T325,",",Contemporary!W325,",",Contemporary!B325,",",SUBSTITUTE(B361,",","%2c"),",",IF(Contemporary!K325&lt;&gt;"",Contemporary!K325,CONCATENATE(Contemporary!H325,";",Contemporary!I325)),",",Spotify!A347)),"")</f>
        <v>You And Me,Lifehouse,2005,Rock,0,0,0,0,0,WIP,,;slow;love;acoustic;alternative;groovy;waltz,</v>
      </c>
    </row>
    <row r="362" spans="1:1" ht="13.5" x14ac:dyDescent="0.25">
      <c r="A362" s="53" t="str">
        <f>IF((Contemporary!D326&lt;&gt;""),(CONCATENATE(Contemporary!D326,",",Contemporary!E326,",",Contemporary!G326,",",Contemporary!H326,",",Contemporary!P326,",",Contemporary!Q326,",",Contemporary!R326,",",Contemporary!T326,",",Contemporary!W326,",",Contemporary!B326,",",SUBSTITUTE(B362,",","%2c"),",",IF(Contemporary!K326&lt;&gt;"",Contemporary!K326,CONCATENATE(Contemporary!H326,";",Contemporary!I326)),",",Spotify!A348)),"")</f>
        <v>You Belong To Me,Bryan Adams,2015,Rock,0,0,0,0,0,,,;fast;dance;groovy;love,</v>
      </c>
    </row>
    <row r="363" spans="1:1" ht="13.5" x14ac:dyDescent="0.25">
      <c r="A363" s="53" t="str">
        <f>IF((Contemporary!D327&lt;&gt;""),(CONCATENATE(Contemporary!D327,",",Contemporary!E327,",",Contemporary!G327,",",Contemporary!H327,",",Contemporary!P327,",",Contemporary!Q327,",",Contemporary!R327,",",Contemporary!T327,",",Contemporary!W327,",",Contemporary!B327,",",SUBSTITUTE(B363,",","%2c"),",",IF(Contemporary!K327&lt;&gt;"",Contemporary!K327,CONCATENATE(Contemporary!H327,";",Contemporary!I327)),",",Spotify!A349)),"")</f>
        <v>Your Song,Elton John,1970,Pop,0,0,0,0,0,WIP,,;slow;love;oldies;retro,</v>
      </c>
    </row>
    <row r="364" spans="1:1" ht="13.5" x14ac:dyDescent="0.25">
      <c r="A364" s="53" t="str">
        <f>IF((Contemporary!D328&lt;&gt;""),(CONCATENATE(Contemporary!D328,",",Contemporary!E328,",",Contemporary!G328,",",Contemporary!H328,",",Contemporary!P328,",",Contemporary!Q328,",",Contemporary!R328,",",Contemporary!T328,",",Contemporary!W328,",",Contemporary!B328,",",SUBSTITUTE(B364,",","%2c"),",",IF(Contemporary!K328&lt;&gt;"",Contemporary!K328,CONCATENATE(Contemporary!H328,";",Contemporary!I328)),",",Spotify!A350)),"")</f>
        <v>You're Beautiful,James Blunt,2005,Rock,0,0,0,0,0,,,;love;slow;alternative,</v>
      </c>
    </row>
    <row r="365" spans="1:1" ht="13.5" x14ac:dyDescent="0.25">
      <c r="A365" s="53" t="str">
        <f>IF((Contemporary!D329&lt;&gt;""),(CONCATENATE(Contemporary!D329,",",Contemporary!E329,",",Contemporary!G329,",",Contemporary!H329,",",Contemporary!P329,",",Contemporary!Q329,",",Contemporary!R329,",",Contemporary!T329,",",Contemporary!W329,",",Contemporary!B329,",",SUBSTITUTE(B365,",","%2c"),",",IF(Contemporary!K329&lt;&gt;"",Contemporary!K329,CONCATENATE(Contemporary!H329,";",Contemporary!I329)),",",Spotify!A351)),"")</f>
        <v>You're Still The One,Shania Twain,1997,Country,0,0,0,0,0,,,;dance;love;slow,</v>
      </c>
    </row>
    <row r="366" spans="1:1" ht="13.5" x14ac:dyDescent="0.25">
      <c r="A366" s="53" t="str">
        <f>IF((Contemporary!D330&lt;&gt;""),(CONCATENATE(Contemporary!D330,",",Contemporary!E330,",",Contemporary!G330,",",Contemporary!H330,",",Contemporary!P330,",",Contemporary!Q330,",",Contemporary!R330,",",Contemporary!T330,",",Contemporary!W330,",",Contemporary!B330,",",SUBSTITUTE(B366,",","%2c"),",",IF(Contemporary!K330&lt;&gt;"",Contemporary!K330,CONCATENATE(Contemporary!H330,";",Contemporary!I330)),",",Spotify!A352)),"")</f>
        <v>You've Got To Hide Your Love Away,Beatles,1965,Pop,0,0,0,0,0,,,;oldies;retro;love;groovy;dance;waltz,</v>
      </c>
    </row>
    <row r="367" spans="1:1" ht="13.5" x14ac:dyDescent="0.25">
      <c r="A367" s="53" t="str">
        <f>IF((Contemporary!D331&lt;&gt;""),(CONCATENATE(Contemporary!D331,",",Contemporary!E331,",",Contemporary!G331,",",Contemporary!H331,",",Contemporary!P331,",",Contemporary!Q331,",",Contemporary!R331,",",Contemporary!T331,",",Contemporary!W331,",",Contemporary!B331,",",SUBSTITUTE(B367,",","%2c"),",",IF(Contemporary!K331&lt;&gt;"",Contemporary!K331,CONCATENATE(Contemporary!H331,";",Contemporary!I331)),",",Spotify!A353)),"")</f>
        <v>Zombie,Cranberries,1994,Rock,0,0,0,0,0,,,;slow;groovy;alternative,</v>
      </c>
    </row>
    <row r="368" spans="1:1" ht="13.5" x14ac:dyDescent="0.25">
      <c r="A368" s="53"/>
    </row>
    <row r="369" spans="1:1" ht="13.5" x14ac:dyDescent="0.25">
      <c r="A369" s="53"/>
    </row>
    <row r="370" spans="1:1" ht="13.5" x14ac:dyDescent="0.25">
      <c r="A370" s="53"/>
    </row>
    <row r="371" spans="1:1" ht="13.5" x14ac:dyDescent="0.25">
      <c r="A371" s="53"/>
    </row>
    <row r="372" spans="1:1" ht="13.5" x14ac:dyDescent="0.25">
      <c r="A372" s="53"/>
    </row>
    <row r="373" spans="1:1" ht="13.5" x14ac:dyDescent="0.25">
      <c r="A373" s="53"/>
    </row>
    <row r="374" spans="1:1" ht="13.5" x14ac:dyDescent="0.25">
      <c r="A374" s="53"/>
    </row>
    <row r="375" spans="1:1" ht="13.5" x14ac:dyDescent="0.25">
      <c r="A375" s="53"/>
    </row>
    <row r="376" spans="1:1" ht="13.5" x14ac:dyDescent="0.25">
      <c r="A376" s="53"/>
    </row>
    <row r="377" spans="1:1" ht="13.5" x14ac:dyDescent="0.25">
      <c r="A377" s="53"/>
    </row>
    <row r="378" spans="1:1" ht="13.5" x14ac:dyDescent="0.25">
      <c r="A378" s="53"/>
    </row>
    <row r="379" spans="1:1" ht="13.5" x14ac:dyDescent="0.25">
      <c r="A379" s="53"/>
    </row>
    <row r="380" spans="1:1" ht="13.5" x14ac:dyDescent="0.25">
      <c r="A380" s="53"/>
    </row>
    <row r="381" spans="1:1" ht="13.5" x14ac:dyDescent="0.25">
      <c r="A381" s="53"/>
    </row>
    <row r="382" spans="1:1" ht="13.5" x14ac:dyDescent="0.25">
      <c r="A382" s="53"/>
    </row>
    <row r="383" spans="1:1" ht="13.5" x14ac:dyDescent="0.25">
      <c r="A383" s="53"/>
    </row>
    <row r="384" spans="1:1" ht="13.5" x14ac:dyDescent="0.25">
      <c r="A384" s="53"/>
    </row>
    <row r="385" spans="1:1" ht="13.5" x14ac:dyDescent="0.25">
      <c r="A385" s="53"/>
    </row>
    <row r="386" spans="1:1" ht="13.5" x14ac:dyDescent="0.25">
      <c r="A386" s="53"/>
    </row>
    <row r="387" spans="1:1" ht="13.5" x14ac:dyDescent="0.25">
      <c r="A387" s="53"/>
    </row>
    <row r="388" spans="1:1" ht="13.5" x14ac:dyDescent="0.25">
      <c r="A388" s="53"/>
    </row>
    <row r="389" spans="1:1" ht="13.5" x14ac:dyDescent="0.25">
      <c r="A389" s="53"/>
    </row>
    <row r="390" spans="1:1" ht="13.5" x14ac:dyDescent="0.25">
      <c r="A390" s="53"/>
    </row>
    <row r="391" spans="1:1" ht="13.5" x14ac:dyDescent="0.25">
      <c r="A391" s="53"/>
    </row>
    <row r="392" spans="1:1" ht="13.5" x14ac:dyDescent="0.25">
      <c r="A392" s="53"/>
    </row>
    <row r="393" spans="1:1" ht="13.5" x14ac:dyDescent="0.25">
      <c r="A393" s="53"/>
    </row>
    <row r="394" spans="1:1" ht="13.5" x14ac:dyDescent="0.25">
      <c r="A394" s="53"/>
    </row>
    <row r="395" spans="1:1" ht="13.5" x14ac:dyDescent="0.25">
      <c r="A395" s="53"/>
    </row>
    <row r="396" spans="1:1" ht="13.5" x14ac:dyDescent="0.25">
      <c r="A396" s="53"/>
    </row>
    <row r="397" spans="1:1" ht="13.5" x14ac:dyDescent="0.25">
      <c r="A397" s="53"/>
    </row>
    <row r="398" spans="1:1" ht="13.5" x14ac:dyDescent="0.25">
      <c r="A398" s="53"/>
    </row>
    <row r="399" spans="1:1" ht="13.5" x14ac:dyDescent="0.25">
      <c r="A399" s="53"/>
    </row>
    <row r="400" spans="1:1" ht="13.5" x14ac:dyDescent="0.25">
      <c r="A400" s="53"/>
    </row>
    <row r="401" spans="1:1" ht="13.5" x14ac:dyDescent="0.25">
      <c r="A401" s="53"/>
    </row>
    <row r="402" spans="1:1" ht="13.5" x14ac:dyDescent="0.25">
      <c r="A402" s="53"/>
    </row>
    <row r="403" spans="1:1" ht="13.5" x14ac:dyDescent="0.25">
      <c r="A403" s="53"/>
    </row>
    <row r="404" spans="1:1" ht="13.5" x14ac:dyDescent="0.25">
      <c r="A404" s="53"/>
    </row>
    <row r="405" spans="1:1" ht="13.5" x14ac:dyDescent="0.25">
      <c r="A405" s="53"/>
    </row>
    <row r="406" spans="1:1" ht="13.5" x14ac:dyDescent="0.25">
      <c r="A406" s="53"/>
    </row>
    <row r="407" spans="1:1" ht="13.5" x14ac:dyDescent="0.25">
      <c r="A407" s="53"/>
    </row>
    <row r="408" spans="1:1" ht="13.5" x14ac:dyDescent="0.25">
      <c r="A408" s="53"/>
    </row>
    <row r="409" spans="1:1" ht="13.5" x14ac:dyDescent="0.25">
      <c r="A409" s="53"/>
    </row>
    <row r="410" spans="1:1" ht="13.5" x14ac:dyDescent="0.25">
      <c r="A410" s="53"/>
    </row>
    <row r="411" spans="1:1" ht="13.5" x14ac:dyDescent="0.25">
      <c r="A411" s="53"/>
    </row>
    <row r="412" spans="1:1" ht="13.5" x14ac:dyDescent="0.25">
      <c r="A412" s="53"/>
    </row>
    <row r="413" spans="1:1" ht="13.5" x14ac:dyDescent="0.25">
      <c r="A413" s="53"/>
    </row>
    <row r="414" spans="1:1" ht="13.5" x14ac:dyDescent="0.25">
      <c r="A414" s="53"/>
    </row>
    <row r="415" spans="1:1" ht="13.5" x14ac:dyDescent="0.25">
      <c r="A415" s="53"/>
    </row>
    <row r="416" spans="1:1" ht="13.5" x14ac:dyDescent="0.25">
      <c r="A416" s="53"/>
    </row>
    <row r="417" spans="1:1" ht="13.5" x14ac:dyDescent="0.25">
      <c r="A417" s="53"/>
    </row>
    <row r="418" spans="1:1" ht="13.5" x14ac:dyDescent="0.25">
      <c r="A418" s="53"/>
    </row>
    <row r="419" spans="1:1" ht="13.5" x14ac:dyDescent="0.25">
      <c r="A419" s="53"/>
    </row>
    <row r="420" spans="1:1" ht="13.5" x14ac:dyDescent="0.25">
      <c r="A420" s="53"/>
    </row>
    <row r="421" spans="1:1" ht="13.5" x14ac:dyDescent="0.25">
      <c r="A421" s="53"/>
    </row>
    <row r="422" spans="1:1" ht="13.5" x14ac:dyDescent="0.25">
      <c r="A422" s="53"/>
    </row>
    <row r="423" spans="1:1" ht="13.5" x14ac:dyDescent="0.25">
      <c r="A423" s="53"/>
    </row>
    <row r="424" spans="1:1" ht="13.5" x14ac:dyDescent="0.25">
      <c r="A424" s="53"/>
    </row>
    <row r="425" spans="1:1" ht="13.5" x14ac:dyDescent="0.25">
      <c r="A425" s="53"/>
    </row>
    <row r="426" spans="1:1" ht="13.5" x14ac:dyDescent="0.25">
      <c r="A426" s="53"/>
    </row>
    <row r="427" spans="1:1" ht="13.5" x14ac:dyDescent="0.25">
      <c r="A427" s="53"/>
    </row>
    <row r="428" spans="1:1" ht="13.5" x14ac:dyDescent="0.25">
      <c r="A428" s="53"/>
    </row>
    <row r="429" spans="1:1" ht="13.5" x14ac:dyDescent="0.25">
      <c r="A429" s="53"/>
    </row>
    <row r="430" spans="1:1" ht="13.5" x14ac:dyDescent="0.25">
      <c r="A430" s="53"/>
    </row>
    <row r="431" spans="1:1" ht="13.5" x14ac:dyDescent="0.25">
      <c r="A431" s="53"/>
    </row>
    <row r="432" spans="1:1" ht="13.5" x14ac:dyDescent="0.25">
      <c r="A432" s="53"/>
    </row>
    <row r="433" spans="1:1" ht="13.5" x14ac:dyDescent="0.25">
      <c r="A433" s="53"/>
    </row>
    <row r="434" spans="1:1" ht="13.5" x14ac:dyDescent="0.25">
      <c r="A434" s="53"/>
    </row>
    <row r="435" spans="1:1" ht="13.5" x14ac:dyDescent="0.25">
      <c r="A435" s="53"/>
    </row>
    <row r="436" spans="1:1" ht="13.5" x14ac:dyDescent="0.25">
      <c r="A436" s="53"/>
    </row>
    <row r="437" spans="1:1" ht="13.5" x14ac:dyDescent="0.25">
      <c r="A437" s="53"/>
    </row>
    <row r="438" spans="1:1" ht="13.5" x14ac:dyDescent="0.25">
      <c r="A438" s="53"/>
    </row>
    <row r="439" spans="1:1" ht="13.5" x14ac:dyDescent="0.25">
      <c r="A439" s="53"/>
    </row>
    <row r="440" spans="1:1" ht="13.5" x14ac:dyDescent="0.25">
      <c r="A440" s="53"/>
    </row>
    <row r="441" spans="1:1" ht="13.5" x14ac:dyDescent="0.25">
      <c r="A441" s="53"/>
    </row>
    <row r="442" spans="1:1" ht="13.5" x14ac:dyDescent="0.25">
      <c r="A442" s="53"/>
    </row>
    <row r="443" spans="1:1" ht="13.5" x14ac:dyDescent="0.25">
      <c r="A443" s="53"/>
    </row>
    <row r="444" spans="1:1" ht="13.5" x14ac:dyDescent="0.25">
      <c r="A444" s="53"/>
    </row>
    <row r="445" spans="1:1" ht="13.5" x14ac:dyDescent="0.25">
      <c r="A445" s="53"/>
    </row>
    <row r="446" spans="1:1" ht="13.5" x14ac:dyDescent="0.25">
      <c r="A446" s="53"/>
    </row>
    <row r="447" spans="1:1" ht="13.5" x14ac:dyDescent="0.25">
      <c r="A447" s="53"/>
    </row>
    <row r="448" spans="1:1" ht="13.5" x14ac:dyDescent="0.25">
      <c r="A448" s="53"/>
    </row>
    <row r="449" spans="1:1" ht="13.5" x14ac:dyDescent="0.25">
      <c r="A449" s="53"/>
    </row>
    <row r="450" spans="1:1" ht="13.5" x14ac:dyDescent="0.25">
      <c r="A450" s="53"/>
    </row>
    <row r="451" spans="1:1" ht="13.5" x14ac:dyDescent="0.25">
      <c r="A451" s="53"/>
    </row>
    <row r="452" spans="1:1" ht="13.5" x14ac:dyDescent="0.25">
      <c r="A452" s="53"/>
    </row>
    <row r="453" spans="1:1" ht="13.5" x14ac:dyDescent="0.25">
      <c r="A453" s="53"/>
    </row>
    <row r="454" spans="1:1" ht="13.5" x14ac:dyDescent="0.25">
      <c r="A454" s="53"/>
    </row>
    <row r="455" spans="1:1" ht="13.5" x14ac:dyDescent="0.25">
      <c r="A455" s="53"/>
    </row>
    <row r="456" spans="1:1" ht="13.5" x14ac:dyDescent="0.25">
      <c r="A456" s="53"/>
    </row>
    <row r="457" spans="1:1" ht="13.5" x14ac:dyDescent="0.25">
      <c r="A457" s="53"/>
    </row>
    <row r="458" spans="1:1" ht="13.5" x14ac:dyDescent="0.25">
      <c r="A458" s="53"/>
    </row>
    <row r="459" spans="1:1" ht="13.5" x14ac:dyDescent="0.25">
      <c r="A459" s="53"/>
    </row>
    <row r="460" spans="1:1" ht="13.5" x14ac:dyDescent="0.25">
      <c r="A460" s="53"/>
    </row>
    <row r="461" spans="1:1" ht="13.5" x14ac:dyDescent="0.25">
      <c r="A461" s="53"/>
    </row>
    <row r="462" spans="1:1" ht="13.5" x14ac:dyDescent="0.25">
      <c r="A462" s="53"/>
    </row>
    <row r="463" spans="1:1" ht="13.5" x14ac:dyDescent="0.25">
      <c r="A463" s="53"/>
    </row>
    <row r="464" spans="1:1" ht="13.5" x14ac:dyDescent="0.25">
      <c r="A464" s="53"/>
    </row>
    <row r="465" spans="1:1" ht="13.5" x14ac:dyDescent="0.25">
      <c r="A465" s="53"/>
    </row>
    <row r="466" spans="1:1" ht="13.5" x14ac:dyDescent="0.25">
      <c r="A466" s="53"/>
    </row>
    <row r="467" spans="1:1" ht="13.5" x14ac:dyDescent="0.25">
      <c r="A467" s="53"/>
    </row>
    <row r="468" spans="1:1" ht="13.5" x14ac:dyDescent="0.25">
      <c r="A468" s="53"/>
    </row>
    <row r="469" spans="1:1" ht="13.5" x14ac:dyDescent="0.25">
      <c r="A469" s="53"/>
    </row>
    <row r="470" spans="1:1" ht="13.5" x14ac:dyDescent="0.25">
      <c r="A470" s="53"/>
    </row>
    <row r="471" spans="1:1" ht="13.5" x14ac:dyDescent="0.25">
      <c r="A471" s="53"/>
    </row>
    <row r="472" spans="1:1" ht="13.5" x14ac:dyDescent="0.25">
      <c r="A472" s="53"/>
    </row>
    <row r="473" spans="1:1" ht="13.5" x14ac:dyDescent="0.25">
      <c r="A473" s="53"/>
    </row>
    <row r="474" spans="1:1" ht="13.5" x14ac:dyDescent="0.25">
      <c r="A474" s="53"/>
    </row>
    <row r="475" spans="1:1" ht="13.5" x14ac:dyDescent="0.25">
      <c r="A475" s="53"/>
    </row>
    <row r="476" spans="1:1" ht="13.5" x14ac:dyDescent="0.25">
      <c r="A476" s="53"/>
    </row>
    <row r="477" spans="1:1" ht="13.5" x14ac:dyDescent="0.25">
      <c r="A477" s="53"/>
    </row>
    <row r="478" spans="1:1" ht="13.5" x14ac:dyDescent="0.25">
      <c r="A478" s="53"/>
    </row>
    <row r="479" spans="1:1" ht="13.5" x14ac:dyDescent="0.25">
      <c r="A479" s="53"/>
    </row>
    <row r="480" spans="1:1" ht="13.5" x14ac:dyDescent="0.25">
      <c r="A480" s="53"/>
    </row>
    <row r="481" spans="1:1" ht="13.5" x14ac:dyDescent="0.25">
      <c r="A481" s="53"/>
    </row>
    <row r="482" spans="1:1" ht="13.5" x14ac:dyDescent="0.25">
      <c r="A482" s="53"/>
    </row>
    <row r="483" spans="1:1" ht="13.5" x14ac:dyDescent="0.25">
      <c r="A483" s="53"/>
    </row>
    <row r="484" spans="1:1" ht="13.5" x14ac:dyDescent="0.25">
      <c r="A484" s="53"/>
    </row>
    <row r="485" spans="1:1" ht="13.5" x14ac:dyDescent="0.25">
      <c r="A485" s="53"/>
    </row>
    <row r="486" spans="1:1" ht="13.5" x14ac:dyDescent="0.25">
      <c r="A486" s="53"/>
    </row>
    <row r="487" spans="1:1" ht="13.5" x14ac:dyDescent="0.25">
      <c r="A487" s="53"/>
    </row>
    <row r="488" spans="1:1" ht="13.5" x14ac:dyDescent="0.25">
      <c r="A488" s="53"/>
    </row>
    <row r="489" spans="1:1" ht="13.5" x14ac:dyDescent="0.25">
      <c r="A489" s="53"/>
    </row>
    <row r="490" spans="1:1" ht="13.5" x14ac:dyDescent="0.25">
      <c r="A490" s="53"/>
    </row>
    <row r="491" spans="1:1" ht="13.5" x14ac:dyDescent="0.25">
      <c r="A491" s="53"/>
    </row>
    <row r="492" spans="1:1" ht="13.5" x14ac:dyDescent="0.25">
      <c r="A492" s="53"/>
    </row>
    <row r="493" spans="1:1" ht="13.5" x14ac:dyDescent="0.25">
      <c r="A493" s="53"/>
    </row>
    <row r="494" spans="1:1" ht="13.5" x14ac:dyDescent="0.25">
      <c r="A494" s="53"/>
    </row>
    <row r="495" spans="1:1" ht="13.5" x14ac:dyDescent="0.25">
      <c r="A495" s="53"/>
    </row>
    <row r="496" spans="1:1" ht="13.5" x14ac:dyDescent="0.25">
      <c r="A496" s="53"/>
    </row>
    <row r="497" spans="1:1" ht="13.5" x14ac:dyDescent="0.25">
      <c r="A497" s="53"/>
    </row>
    <row r="498" spans="1:1" ht="13.5" x14ac:dyDescent="0.25">
      <c r="A498" s="53"/>
    </row>
    <row r="499" spans="1:1" ht="13.5" x14ac:dyDescent="0.25">
      <c r="A499" s="53"/>
    </row>
    <row r="500" spans="1:1" ht="13.5" x14ac:dyDescent="0.25">
      <c r="A500" s="53"/>
    </row>
    <row r="501" spans="1:1" ht="13.5" x14ac:dyDescent="0.25">
      <c r="A501" s="53"/>
    </row>
    <row r="502" spans="1:1" ht="13.5" x14ac:dyDescent="0.25">
      <c r="A502" s="53"/>
    </row>
    <row r="503" spans="1:1" ht="13.5" x14ac:dyDescent="0.25">
      <c r="A503" s="53"/>
    </row>
    <row r="504" spans="1:1" ht="13.5" x14ac:dyDescent="0.25">
      <c r="A504" s="53"/>
    </row>
    <row r="505" spans="1:1" ht="13.5" x14ac:dyDescent="0.25">
      <c r="A505" s="53"/>
    </row>
    <row r="506" spans="1:1" ht="13.5" x14ac:dyDescent="0.25">
      <c r="A506" s="53"/>
    </row>
    <row r="507" spans="1:1" ht="13.5" x14ac:dyDescent="0.25">
      <c r="A507" s="53"/>
    </row>
    <row r="508" spans="1:1" ht="13.5" x14ac:dyDescent="0.25">
      <c r="A508" s="53"/>
    </row>
    <row r="509" spans="1:1" ht="13.5" x14ac:dyDescent="0.25">
      <c r="A509" s="53"/>
    </row>
    <row r="510" spans="1:1" ht="13.5" x14ac:dyDescent="0.25">
      <c r="A510" s="53"/>
    </row>
    <row r="511" spans="1:1" ht="13.5" x14ac:dyDescent="0.25">
      <c r="A511" s="53"/>
    </row>
    <row r="512" spans="1:1" ht="13.5" x14ac:dyDescent="0.25">
      <c r="A512" s="53"/>
    </row>
    <row r="513" spans="1:1" ht="13.5" x14ac:dyDescent="0.25">
      <c r="A513" s="53"/>
    </row>
    <row r="514" spans="1:1" ht="13.5" x14ac:dyDescent="0.25">
      <c r="A514" s="53"/>
    </row>
    <row r="515" spans="1:1" ht="13.5" x14ac:dyDescent="0.25">
      <c r="A515" s="53"/>
    </row>
    <row r="516" spans="1:1" ht="13.5" x14ac:dyDescent="0.25">
      <c r="A516" s="53"/>
    </row>
    <row r="517" spans="1:1" ht="13.5" x14ac:dyDescent="0.25">
      <c r="A517" s="53"/>
    </row>
    <row r="518" spans="1:1" ht="13.5" x14ac:dyDescent="0.25">
      <c r="A518" s="53"/>
    </row>
    <row r="519" spans="1:1" ht="13.5" x14ac:dyDescent="0.25">
      <c r="A519" s="53"/>
    </row>
    <row r="520" spans="1:1" ht="13.5" x14ac:dyDescent="0.25">
      <c r="A520" s="53"/>
    </row>
    <row r="521" spans="1:1" ht="13.5" x14ac:dyDescent="0.25">
      <c r="A521" s="53"/>
    </row>
    <row r="522" spans="1:1" ht="13.5" x14ac:dyDescent="0.25">
      <c r="A522" s="53"/>
    </row>
    <row r="523" spans="1:1" ht="13.5" x14ac:dyDescent="0.25">
      <c r="A523" s="53"/>
    </row>
    <row r="524" spans="1:1" ht="13.5" x14ac:dyDescent="0.25">
      <c r="A524" s="53"/>
    </row>
    <row r="525" spans="1:1" ht="13.5" x14ac:dyDescent="0.25">
      <c r="A525" s="53"/>
    </row>
    <row r="526" spans="1:1" ht="13.5" x14ac:dyDescent="0.25">
      <c r="A526" s="53"/>
    </row>
    <row r="527" spans="1:1" ht="13.5" x14ac:dyDescent="0.25">
      <c r="A527" s="53"/>
    </row>
    <row r="528" spans="1:1" ht="13.5" x14ac:dyDescent="0.25">
      <c r="A528" s="53"/>
    </row>
    <row r="529" spans="1:1" ht="13.5" x14ac:dyDescent="0.25">
      <c r="A529" s="53"/>
    </row>
    <row r="530" spans="1:1" ht="13.5" x14ac:dyDescent="0.25">
      <c r="A530" s="53"/>
    </row>
    <row r="531" spans="1:1" ht="13.5" x14ac:dyDescent="0.25">
      <c r="A531" s="53"/>
    </row>
    <row r="532" spans="1:1" ht="13.5" x14ac:dyDescent="0.25">
      <c r="A532" s="53"/>
    </row>
    <row r="533" spans="1:1" ht="13.5" x14ac:dyDescent="0.25">
      <c r="A533" s="53"/>
    </row>
    <row r="534" spans="1:1" ht="13.5" x14ac:dyDescent="0.25">
      <c r="A534" s="53"/>
    </row>
    <row r="535" spans="1:1" ht="13.5" x14ac:dyDescent="0.25">
      <c r="A535" s="53"/>
    </row>
    <row r="536" spans="1:1" ht="13.5" x14ac:dyDescent="0.25">
      <c r="A536" s="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25C0-6174-40C5-AF01-AD2AB6FB53A1}">
  <dimension ref="A1:V353"/>
  <sheetViews>
    <sheetView workbookViewId="0">
      <selection activeCell="A3" sqref="A3:V344"/>
    </sheetView>
  </sheetViews>
  <sheetFormatPr defaultRowHeight="15" customHeight="1" x14ac:dyDescent="0.2"/>
  <cols>
    <col min="1" max="4" width="19.5703125" customWidth="1"/>
    <col min="5" max="5" width="12.42578125" customWidth="1"/>
    <col min="6" max="22" width="19.5703125" customWidth="1"/>
  </cols>
  <sheetData>
    <row r="1" spans="1:22" s="85" customFormat="1" ht="15" customHeight="1" x14ac:dyDescent="0.2">
      <c r="A1" s="85" t="s">
        <v>797</v>
      </c>
      <c r="B1" s="85" t="s">
        <v>798</v>
      </c>
      <c r="C1" s="85" t="s">
        <v>799</v>
      </c>
      <c r="D1" s="85" t="s">
        <v>800</v>
      </c>
      <c r="E1" s="85" t="s">
        <v>801</v>
      </c>
      <c r="F1" s="85" t="s">
        <v>802</v>
      </c>
      <c r="G1" s="85" t="s">
        <v>803</v>
      </c>
      <c r="H1" s="85" t="s">
        <v>804</v>
      </c>
      <c r="I1" s="85" t="s">
        <v>805</v>
      </c>
      <c r="J1" s="85" t="s">
        <v>806</v>
      </c>
      <c r="K1" s="85" t="s">
        <v>807</v>
      </c>
      <c r="L1" s="85" t="s">
        <v>776</v>
      </c>
      <c r="M1" s="85" t="s">
        <v>2</v>
      </c>
      <c r="N1" s="85" t="s">
        <v>808</v>
      </c>
      <c r="O1" s="85" t="s">
        <v>809</v>
      </c>
      <c r="P1" s="85" t="s">
        <v>810</v>
      </c>
      <c r="Q1" s="85" t="s">
        <v>811</v>
      </c>
      <c r="R1" s="85" t="s">
        <v>812</v>
      </c>
      <c r="S1" s="85" t="s">
        <v>813</v>
      </c>
      <c r="T1" s="85" t="s">
        <v>778</v>
      </c>
      <c r="U1" s="85" t="s">
        <v>814</v>
      </c>
      <c r="V1" s="85" t="s">
        <v>815</v>
      </c>
    </row>
    <row r="2" spans="1:22" s="85" customFormat="1" ht="9.75" hidden="1" customHeight="1" x14ac:dyDescent="0.2"/>
    <row r="3" spans="1:22" ht="15" customHeight="1" x14ac:dyDescent="0.2">
      <c r="A3" t="s">
        <v>816</v>
      </c>
      <c r="B3">
        <v>1973</v>
      </c>
      <c r="C3" t="s">
        <v>817</v>
      </c>
      <c r="D3" t="s">
        <v>11</v>
      </c>
      <c r="E3" s="84">
        <v>39330</v>
      </c>
      <c r="F3">
        <v>280026</v>
      </c>
      <c r="G3">
        <v>75</v>
      </c>
      <c r="H3">
        <v>125771062</v>
      </c>
      <c r="I3" t="s">
        <v>818</v>
      </c>
      <c r="K3">
        <v>0.72</v>
      </c>
      <c r="L3">
        <v>0.66800000000000004</v>
      </c>
      <c r="M3">
        <v>9</v>
      </c>
      <c r="N3">
        <v>-7.9279999999999999</v>
      </c>
      <c r="O3">
        <v>1</v>
      </c>
      <c r="P3">
        <v>2.69E-2</v>
      </c>
      <c r="Q3">
        <v>6.5299999999999997E-2</v>
      </c>
      <c r="R3">
        <v>6.7499999999999999E-3</v>
      </c>
      <c r="S3">
        <v>7.8899999999999998E-2</v>
      </c>
      <c r="T3">
        <v>0.76900000000000002</v>
      </c>
      <c r="U3">
        <v>123.005</v>
      </c>
      <c r="V3">
        <v>4</v>
      </c>
    </row>
    <row r="4" spans="1:22" ht="15" customHeight="1" x14ac:dyDescent="0.2">
      <c r="A4" t="s">
        <v>1610</v>
      </c>
      <c r="B4" t="s">
        <v>1611</v>
      </c>
      <c r="C4" t="s">
        <v>954</v>
      </c>
      <c r="D4" t="s">
        <v>673</v>
      </c>
      <c r="E4" s="84">
        <v>36843</v>
      </c>
      <c r="F4">
        <v>152920</v>
      </c>
      <c r="G4">
        <v>54</v>
      </c>
      <c r="H4">
        <v>125771062</v>
      </c>
      <c r="I4" t="s">
        <v>1612</v>
      </c>
      <c r="J4" t="s">
        <v>1781</v>
      </c>
      <c r="K4">
        <v>0.54600000000000004</v>
      </c>
      <c r="L4">
        <v>0.81799999999999995</v>
      </c>
      <c r="M4">
        <v>0</v>
      </c>
      <c r="N4">
        <v>-4.8899999999999997</v>
      </c>
      <c r="O4">
        <v>1</v>
      </c>
      <c r="P4">
        <v>3.1E-2</v>
      </c>
      <c r="Q4">
        <v>4.87E-2</v>
      </c>
      <c r="R4">
        <v>0</v>
      </c>
      <c r="S4">
        <v>9.8299999999999998E-2</v>
      </c>
      <c r="T4">
        <v>0.75600000000000001</v>
      </c>
      <c r="U4">
        <v>138.56100000000001</v>
      </c>
      <c r="V4">
        <v>4</v>
      </c>
    </row>
    <row r="5" spans="1:22" ht="15" customHeight="1" x14ac:dyDescent="0.2">
      <c r="A5" t="s">
        <v>819</v>
      </c>
      <c r="B5" t="s">
        <v>652</v>
      </c>
      <c r="C5" t="s">
        <v>820</v>
      </c>
      <c r="D5" t="s">
        <v>104</v>
      </c>
      <c r="E5">
        <v>2007</v>
      </c>
      <c r="F5">
        <v>121584</v>
      </c>
      <c r="G5">
        <v>56</v>
      </c>
      <c r="H5">
        <v>125771062</v>
      </c>
      <c r="I5" t="s">
        <v>821</v>
      </c>
      <c r="J5" t="s">
        <v>1782</v>
      </c>
      <c r="K5">
        <v>0.58399999999999996</v>
      </c>
      <c r="L5">
        <v>0.80200000000000005</v>
      </c>
      <c r="M5">
        <v>2</v>
      </c>
      <c r="N5">
        <v>-8.0299999999999994</v>
      </c>
      <c r="O5">
        <v>1</v>
      </c>
      <c r="P5">
        <v>7.8399999999999997E-2</v>
      </c>
      <c r="Q5">
        <v>0.14899999999999999</v>
      </c>
      <c r="R5">
        <v>0</v>
      </c>
      <c r="S5">
        <v>6.83E-2</v>
      </c>
      <c r="T5">
        <v>0.83499999999999996</v>
      </c>
      <c r="U5">
        <v>114.172</v>
      </c>
      <c r="V5">
        <v>4</v>
      </c>
    </row>
    <row r="6" spans="1:22" ht="15" customHeight="1" x14ac:dyDescent="0.2">
      <c r="A6" t="s">
        <v>822</v>
      </c>
      <c r="B6" t="s">
        <v>15</v>
      </c>
      <c r="C6" t="s">
        <v>823</v>
      </c>
      <c r="D6" t="s">
        <v>16</v>
      </c>
      <c r="E6" s="84">
        <v>41737</v>
      </c>
      <c r="F6">
        <v>196600</v>
      </c>
      <c r="G6">
        <v>44</v>
      </c>
      <c r="H6">
        <v>125771062</v>
      </c>
      <c r="I6" t="s">
        <v>818</v>
      </c>
      <c r="K6">
        <v>0.64300000000000002</v>
      </c>
      <c r="L6">
        <v>0.74099999999999999</v>
      </c>
      <c r="M6">
        <v>2</v>
      </c>
      <c r="N6">
        <v>-5.0839999999999996</v>
      </c>
      <c r="O6">
        <v>1</v>
      </c>
      <c r="P6">
        <v>4.0399999999999998E-2</v>
      </c>
      <c r="Q6">
        <v>1.2999999999999999E-2</v>
      </c>
      <c r="R6">
        <v>2.34E-5</v>
      </c>
      <c r="S6">
        <v>7.1099999999999997E-2</v>
      </c>
      <c r="T6">
        <v>0.93500000000000005</v>
      </c>
      <c r="U6">
        <v>80.043000000000006</v>
      </c>
      <c r="V6">
        <v>4</v>
      </c>
    </row>
    <row r="7" spans="1:22" ht="15" customHeight="1" x14ac:dyDescent="0.2">
      <c r="A7" t="s">
        <v>824</v>
      </c>
      <c r="B7" t="s">
        <v>1578</v>
      </c>
      <c r="C7" t="s">
        <v>825</v>
      </c>
      <c r="D7" t="s">
        <v>1866</v>
      </c>
      <c r="E7" s="84">
        <v>37622</v>
      </c>
      <c r="F7">
        <v>239760</v>
      </c>
      <c r="G7">
        <v>42</v>
      </c>
      <c r="H7">
        <v>125771062</v>
      </c>
      <c r="I7" t="s">
        <v>818</v>
      </c>
      <c r="J7" t="s">
        <v>1934</v>
      </c>
      <c r="K7">
        <v>0.58299999999999996</v>
      </c>
      <c r="L7">
        <v>0.74399999999999999</v>
      </c>
      <c r="M7">
        <v>2</v>
      </c>
      <c r="N7">
        <v>-8.36</v>
      </c>
      <c r="O7">
        <v>0</v>
      </c>
      <c r="P7">
        <v>3.1800000000000002E-2</v>
      </c>
      <c r="Q7">
        <v>9.1000000000000004E-3</v>
      </c>
      <c r="R7">
        <v>0</v>
      </c>
      <c r="S7">
        <v>0.27200000000000002</v>
      </c>
      <c r="T7">
        <v>0.81799999999999995</v>
      </c>
      <c r="U7">
        <v>123.901</v>
      </c>
      <c r="V7">
        <v>4</v>
      </c>
    </row>
    <row r="8" spans="1:22" ht="15" customHeight="1" x14ac:dyDescent="0.2">
      <c r="A8" t="s">
        <v>1651</v>
      </c>
      <c r="B8" t="s">
        <v>1652</v>
      </c>
      <c r="C8" t="s">
        <v>1653</v>
      </c>
      <c r="D8" t="s">
        <v>28</v>
      </c>
      <c r="E8" s="84">
        <v>41775</v>
      </c>
      <c r="F8">
        <v>267866</v>
      </c>
      <c r="G8">
        <v>88</v>
      </c>
      <c r="H8">
        <v>125771062</v>
      </c>
      <c r="I8" t="s">
        <v>1654</v>
      </c>
      <c r="K8">
        <v>0.54500000000000004</v>
      </c>
      <c r="L8">
        <v>0.67500000000000004</v>
      </c>
      <c r="M8">
        <v>6</v>
      </c>
      <c r="N8">
        <v>-6.4740000000000002</v>
      </c>
      <c r="O8">
        <v>1</v>
      </c>
      <c r="P8">
        <v>2.7900000000000001E-2</v>
      </c>
      <c r="Q8">
        <v>6.1700000000000001E-3</v>
      </c>
      <c r="R8">
        <v>1.97E-3</v>
      </c>
      <c r="S8">
        <v>0.20899999999999999</v>
      </c>
      <c r="T8">
        <v>0.16200000000000001</v>
      </c>
      <c r="U8">
        <v>124.97</v>
      </c>
      <c r="V8">
        <v>4</v>
      </c>
    </row>
    <row r="9" spans="1:22" ht="15" customHeight="1" x14ac:dyDescent="0.2">
      <c r="A9" t="s">
        <v>826</v>
      </c>
      <c r="B9" t="s">
        <v>22</v>
      </c>
      <c r="C9" t="s">
        <v>827</v>
      </c>
      <c r="D9" t="s">
        <v>23</v>
      </c>
      <c r="E9" s="84">
        <v>37376</v>
      </c>
      <c r="F9">
        <v>237493</v>
      </c>
      <c r="G9">
        <v>83</v>
      </c>
      <c r="H9">
        <v>125771062</v>
      </c>
      <c r="I9" t="s">
        <v>818</v>
      </c>
      <c r="K9">
        <v>0.56000000000000005</v>
      </c>
      <c r="L9">
        <v>0.82499999999999996</v>
      </c>
      <c r="M9">
        <v>11</v>
      </c>
      <c r="N9">
        <v>-3.8620000000000001</v>
      </c>
      <c r="O9">
        <v>1</v>
      </c>
      <c r="P9">
        <v>3.7900000000000003E-2</v>
      </c>
      <c r="Q9">
        <v>0.32300000000000001</v>
      </c>
      <c r="R9">
        <v>0</v>
      </c>
      <c r="S9">
        <v>0.161</v>
      </c>
      <c r="T9">
        <v>0.26800000000000002</v>
      </c>
      <c r="U9">
        <v>94.930999999999997</v>
      </c>
      <c r="V9">
        <v>4</v>
      </c>
    </row>
    <row r="10" spans="1:22" ht="15" customHeight="1" x14ac:dyDescent="0.2">
      <c r="A10" t="s">
        <v>828</v>
      </c>
      <c r="B10" t="s">
        <v>1655</v>
      </c>
      <c r="C10" t="s">
        <v>1655</v>
      </c>
      <c r="D10" t="s">
        <v>25</v>
      </c>
      <c r="E10" s="84">
        <v>40834</v>
      </c>
      <c r="F10">
        <v>285120</v>
      </c>
      <c r="G10">
        <v>86</v>
      </c>
      <c r="H10">
        <v>125771062</v>
      </c>
      <c r="I10" t="s">
        <v>818</v>
      </c>
      <c r="J10" t="s">
        <v>1783</v>
      </c>
      <c r="K10">
        <v>0.42099999999999999</v>
      </c>
      <c r="L10">
        <v>0.40699999999999997</v>
      </c>
      <c r="M10">
        <v>10</v>
      </c>
      <c r="N10">
        <v>-7.4450000000000003</v>
      </c>
      <c r="O10">
        <v>1</v>
      </c>
      <c r="P10">
        <v>2.6700000000000002E-2</v>
      </c>
      <c r="Q10">
        <v>0.309</v>
      </c>
      <c r="R10">
        <v>9.6100000000000005E-4</v>
      </c>
      <c r="S10">
        <v>0.11</v>
      </c>
      <c r="T10">
        <v>0.161</v>
      </c>
      <c r="U10">
        <v>139.02799999999999</v>
      </c>
      <c r="V10">
        <v>3</v>
      </c>
    </row>
    <row r="11" spans="1:22" ht="15" customHeight="1" x14ac:dyDescent="0.2">
      <c r="A11" t="s">
        <v>829</v>
      </c>
      <c r="B11" t="s">
        <v>661</v>
      </c>
      <c r="C11" t="s">
        <v>830</v>
      </c>
      <c r="D11" t="s">
        <v>28</v>
      </c>
      <c r="E11" s="84">
        <v>42342</v>
      </c>
      <c r="F11">
        <v>263786</v>
      </c>
      <c r="G11">
        <v>88</v>
      </c>
      <c r="H11">
        <v>125771062</v>
      </c>
      <c r="I11" t="s">
        <v>818</v>
      </c>
      <c r="K11">
        <v>0.63800000000000001</v>
      </c>
      <c r="L11">
        <v>0.92400000000000004</v>
      </c>
      <c r="M11">
        <v>7</v>
      </c>
      <c r="N11">
        <v>-3.887</v>
      </c>
      <c r="O11">
        <v>1</v>
      </c>
      <c r="P11">
        <v>3.5999999999999997E-2</v>
      </c>
      <c r="Q11">
        <v>2.0500000000000002E-3</v>
      </c>
      <c r="R11">
        <v>1.75E-4</v>
      </c>
      <c r="S11">
        <v>0.14899999999999999</v>
      </c>
      <c r="T11">
        <v>0.53</v>
      </c>
      <c r="U11">
        <v>111.995</v>
      </c>
      <c r="V11">
        <v>4</v>
      </c>
    </row>
    <row r="12" spans="1:22" ht="15" customHeight="1" x14ac:dyDescent="0.2">
      <c r="A12" t="s">
        <v>831</v>
      </c>
      <c r="B12" t="s">
        <v>31</v>
      </c>
      <c r="C12" t="s">
        <v>832</v>
      </c>
      <c r="D12" t="s">
        <v>662</v>
      </c>
      <c r="E12" s="84">
        <v>30049</v>
      </c>
      <c r="F12">
        <v>295282</v>
      </c>
      <c r="G12">
        <v>90</v>
      </c>
      <c r="H12">
        <v>125771062</v>
      </c>
      <c r="I12" t="s">
        <v>818</v>
      </c>
      <c r="J12" t="s">
        <v>1784</v>
      </c>
      <c r="K12">
        <v>0.67100000000000004</v>
      </c>
      <c r="L12">
        <v>0.373</v>
      </c>
      <c r="M12">
        <v>9</v>
      </c>
      <c r="N12">
        <v>-18.064</v>
      </c>
      <c r="O12">
        <v>1</v>
      </c>
      <c r="P12">
        <v>3.2300000000000002E-2</v>
      </c>
      <c r="Q12">
        <v>0.25700000000000001</v>
      </c>
      <c r="R12">
        <v>8.0099999999999995E-5</v>
      </c>
      <c r="S12">
        <v>4.8099999999999997E-2</v>
      </c>
      <c r="T12">
        <v>0.73199999999999998</v>
      </c>
      <c r="U12">
        <v>92.718000000000004</v>
      </c>
      <c r="V12">
        <v>4</v>
      </c>
    </row>
    <row r="13" spans="1:22" ht="15" customHeight="1" x14ac:dyDescent="0.2">
      <c r="A13" t="s">
        <v>833</v>
      </c>
      <c r="B13" t="s">
        <v>576</v>
      </c>
      <c r="C13" t="s">
        <v>834</v>
      </c>
      <c r="D13" t="s">
        <v>663</v>
      </c>
      <c r="E13">
        <v>1972</v>
      </c>
      <c r="F13">
        <v>143693</v>
      </c>
      <c r="G13">
        <v>62</v>
      </c>
      <c r="H13">
        <v>125771062</v>
      </c>
      <c r="I13" t="s">
        <v>818</v>
      </c>
      <c r="J13" t="s">
        <v>1935</v>
      </c>
      <c r="K13">
        <v>0.69399999999999995</v>
      </c>
      <c r="L13">
        <v>0.30599999999999999</v>
      </c>
      <c r="M13">
        <v>2</v>
      </c>
      <c r="N13">
        <v>-19.315000000000001</v>
      </c>
      <c r="O13">
        <v>1</v>
      </c>
      <c r="P13">
        <v>3.5299999999999998E-2</v>
      </c>
      <c r="Q13">
        <v>0.17100000000000001</v>
      </c>
      <c r="R13">
        <v>7.3599999999999999E-2</v>
      </c>
      <c r="S13">
        <v>8.6599999999999996E-2</v>
      </c>
      <c r="T13">
        <v>0.52100000000000002</v>
      </c>
      <c r="U13">
        <v>95.989000000000004</v>
      </c>
      <c r="V13">
        <v>4</v>
      </c>
    </row>
    <row r="14" spans="1:22" ht="15" customHeight="1" x14ac:dyDescent="0.2">
      <c r="A14" t="s">
        <v>1656</v>
      </c>
      <c r="B14" t="s">
        <v>1657</v>
      </c>
      <c r="C14" t="s">
        <v>1658</v>
      </c>
      <c r="D14" t="s">
        <v>1659</v>
      </c>
      <c r="E14" s="84">
        <v>37712</v>
      </c>
      <c r="F14">
        <v>275680</v>
      </c>
      <c r="G14">
        <v>58</v>
      </c>
      <c r="H14">
        <v>125771062</v>
      </c>
      <c r="I14" t="s">
        <v>1660</v>
      </c>
      <c r="J14" t="s">
        <v>1936</v>
      </c>
      <c r="K14">
        <v>0.745</v>
      </c>
      <c r="L14">
        <v>0.64</v>
      </c>
      <c r="M14">
        <v>2</v>
      </c>
      <c r="N14">
        <v>-5.4939999999999998</v>
      </c>
      <c r="O14">
        <v>1</v>
      </c>
      <c r="P14">
        <v>5.2600000000000001E-2</v>
      </c>
      <c r="Q14">
        <v>0.21</v>
      </c>
      <c r="R14">
        <v>5.3000000000000001E-5</v>
      </c>
      <c r="S14">
        <v>0.112</v>
      </c>
      <c r="T14">
        <v>0.61199999999999999</v>
      </c>
      <c r="U14">
        <v>86.98</v>
      </c>
      <c r="V14">
        <v>4</v>
      </c>
    </row>
    <row r="15" spans="1:22" ht="15" customHeight="1" x14ac:dyDescent="0.2">
      <c r="A15" t="s">
        <v>835</v>
      </c>
      <c r="B15" t="s">
        <v>549</v>
      </c>
      <c r="C15" t="s">
        <v>836</v>
      </c>
      <c r="D15" t="s">
        <v>84</v>
      </c>
      <c r="E15" s="84">
        <v>42016</v>
      </c>
      <c r="F15">
        <v>191488</v>
      </c>
      <c r="G15">
        <v>71</v>
      </c>
      <c r="H15">
        <v>125771062</v>
      </c>
      <c r="I15" t="s">
        <v>818</v>
      </c>
      <c r="K15">
        <v>0.80700000000000005</v>
      </c>
      <c r="L15">
        <v>0.88700000000000001</v>
      </c>
      <c r="M15">
        <v>9</v>
      </c>
      <c r="N15">
        <v>-3.726</v>
      </c>
      <c r="O15">
        <v>1</v>
      </c>
      <c r="P15">
        <v>5.0299999999999997E-2</v>
      </c>
      <c r="Q15">
        <v>5.7299999999999997E-2</v>
      </c>
      <c r="R15">
        <v>2.8700000000000001E-6</v>
      </c>
      <c r="S15">
        <v>0.124</v>
      </c>
      <c r="T15">
        <v>0.96099999999999997</v>
      </c>
      <c r="U15">
        <v>134.05199999999999</v>
      </c>
      <c r="V15">
        <v>4</v>
      </c>
    </row>
    <row r="16" spans="1:22" ht="15" customHeight="1" x14ac:dyDescent="0.2">
      <c r="A16" t="s">
        <v>837</v>
      </c>
      <c r="B16" t="s">
        <v>35</v>
      </c>
      <c r="C16" t="s">
        <v>838</v>
      </c>
      <c r="D16" t="s">
        <v>36</v>
      </c>
      <c r="E16" s="84">
        <v>38353</v>
      </c>
      <c r="F16">
        <v>186866</v>
      </c>
      <c r="G16">
        <v>59</v>
      </c>
      <c r="H16">
        <v>125771062</v>
      </c>
      <c r="I16" t="s">
        <v>818</v>
      </c>
      <c r="K16">
        <v>0.54200000000000004</v>
      </c>
      <c r="L16">
        <v>0.55900000000000005</v>
      </c>
      <c r="M16">
        <v>1</v>
      </c>
      <c r="N16">
        <v>-5.3129999999999997</v>
      </c>
      <c r="O16">
        <v>1</v>
      </c>
      <c r="P16">
        <v>2.58E-2</v>
      </c>
      <c r="Q16">
        <v>0.19700000000000001</v>
      </c>
      <c r="R16">
        <v>0</v>
      </c>
      <c r="S16">
        <v>9.8900000000000002E-2</v>
      </c>
      <c r="T16">
        <v>0.29499999999999998</v>
      </c>
      <c r="U16">
        <v>129.898</v>
      </c>
      <c r="V16">
        <v>4</v>
      </c>
    </row>
    <row r="17" spans="1:22" ht="15" customHeight="1" x14ac:dyDescent="0.2">
      <c r="A17" t="s">
        <v>839</v>
      </c>
      <c r="B17" t="s">
        <v>664</v>
      </c>
      <c r="C17" t="s">
        <v>840</v>
      </c>
      <c r="D17" t="s">
        <v>665</v>
      </c>
      <c r="E17" s="84">
        <v>23590</v>
      </c>
      <c r="F17">
        <v>143333</v>
      </c>
      <c r="G17">
        <v>70</v>
      </c>
      <c r="H17">
        <v>125771062</v>
      </c>
      <c r="I17" t="s">
        <v>818</v>
      </c>
      <c r="J17" t="s">
        <v>1785</v>
      </c>
      <c r="K17">
        <v>0.53400000000000003</v>
      </c>
      <c r="L17">
        <v>0.46200000000000002</v>
      </c>
      <c r="M17">
        <v>4</v>
      </c>
      <c r="N17">
        <v>-8.1720000000000006</v>
      </c>
      <c r="O17">
        <v>1</v>
      </c>
      <c r="P17">
        <v>2.6599999999999999E-2</v>
      </c>
      <c r="Q17">
        <v>0.83899999999999997</v>
      </c>
      <c r="R17">
        <v>0</v>
      </c>
      <c r="S17">
        <v>0.129</v>
      </c>
      <c r="T17">
        <v>0.53400000000000003</v>
      </c>
      <c r="U17">
        <v>96.194999999999993</v>
      </c>
      <c r="V17">
        <v>4</v>
      </c>
    </row>
    <row r="18" spans="1:22" ht="15" customHeight="1" x14ac:dyDescent="0.2">
      <c r="A18" t="s">
        <v>841</v>
      </c>
      <c r="B18" t="s">
        <v>44</v>
      </c>
      <c r="C18" t="s">
        <v>842</v>
      </c>
      <c r="D18" t="s">
        <v>45</v>
      </c>
      <c r="E18" s="84">
        <v>36319</v>
      </c>
      <c r="F18">
        <v>200373</v>
      </c>
      <c r="G18">
        <v>82</v>
      </c>
      <c r="H18">
        <v>125771062</v>
      </c>
      <c r="I18" t="s">
        <v>818</v>
      </c>
      <c r="K18">
        <v>0.73099999999999998</v>
      </c>
      <c r="L18">
        <v>0.86699999999999999</v>
      </c>
      <c r="M18">
        <v>11</v>
      </c>
      <c r="N18">
        <v>-5.8810000000000002</v>
      </c>
      <c r="O18">
        <v>1</v>
      </c>
      <c r="P18">
        <v>3.2000000000000001E-2</v>
      </c>
      <c r="Q18">
        <v>3.9399999999999998E-2</v>
      </c>
      <c r="R18">
        <v>0</v>
      </c>
      <c r="S18">
        <v>8.6099999999999996E-2</v>
      </c>
      <c r="T18">
        <v>0.77600000000000002</v>
      </c>
      <c r="U18">
        <v>104.02</v>
      </c>
      <c r="V18">
        <v>4</v>
      </c>
    </row>
    <row r="19" spans="1:22" ht="15" customHeight="1" x14ac:dyDescent="0.2">
      <c r="A19" t="s">
        <v>843</v>
      </c>
      <c r="B19" t="s">
        <v>47</v>
      </c>
      <c r="C19" t="s">
        <v>844</v>
      </c>
      <c r="D19" t="s">
        <v>48</v>
      </c>
      <c r="E19" s="84">
        <v>29587</v>
      </c>
      <c r="F19">
        <v>250440</v>
      </c>
      <c r="G19">
        <v>68</v>
      </c>
      <c r="H19">
        <v>125771062</v>
      </c>
      <c r="I19" t="s">
        <v>818</v>
      </c>
      <c r="K19">
        <v>0.45200000000000001</v>
      </c>
      <c r="L19">
        <v>0.313</v>
      </c>
      <c r="M19">
        <v>8</v>
      </c>
      <c r="N19">
        <v>-9.3089999999999993</v>
      </c>
      <c r="O19">
        <v>1</v>
      </c>
      <c r="P19">
        <v>2.5999999999999999E-2</v>
      </c>
      <c r="Q19">
        <v>0.433</v>
      </c>
      <c r="R19">
        <v>2.5999999999999998E-5</v>
      </c>
      <c r="S19">
        <v>7.7200000000000005E-2</v>
      </c>
      <c r="T19">
        <v>0.34399999999999997</v>
      </c>
      <c r="U19">
        <v>75.805999999999997</v>
      </c>
      <c r="V19">
        <v>4</v>
      </c>
    </row>
    <row r="20" spans="1:22" ht="15" customHeight="1" x14ac:dyDescent="0.2">
      <c r="A20" t="s">
        <v>845</v>
      </c>
      <c r="B20" t="s">
        <v>50</v>
      </c>
      <c r="C20" t="s">
        <v>50</v>
      </c>
      <c r="D20" t="s">
        <v>19</v>
      </c>
      <c r="E20" s="84">
        <v>35431</v>
      </c>
      <c r="F20">
        <v>265333</v>
      </c>
      <c r="G20">
        <v>65</v>
      </c>
      <c r="H20">
        <v>125771062</v>
      </c>
      <c r="I20" t="s">
        <v>818</v>
      </c>
      <c r="K20">
        <v>0.43099999999999999</v>
      </c>
      <c r="L20">
        <v>0.59</v>
      </c>
      <c r="M20">
        <v>4</v>
      </c>
      <c r="N20">
        <v>-6.3620000000000001</v>
      </c>
      <c r="O20">
        <v>1</v>
      </c>
      <c r="P20">
        <v>2.8400000000000002E-2</v>
      </c>
      <c r="Q20">
        <v>0.16300000000000001</v>
      </c>
      <c r="R20">
        <v>1.11E-5</v>
      </c>
      <c r="S20">
        <v>9.8100000000000007E-2</v>
      </c>
      <c r="T20">
        <v>0.25700000000000001</v>
      </c>
      <c r="U20">
        <v>150.19300000000001</v>
      </c>
      <c r="V20">
        <v>4</v>
      </c>
    </row>
    <row r="21" spans="1:22" ht="15" customHeight="1" x14ac:dyDescent="0.2">
      <c r="A21" t="s">
        <v>846</v>
      </c>
      <c r="B21" t="s">
        <v>52</v>
      </c>
      <c r="C21" t="s">
        <v>847</v>
      </c>
      <c r="D21" t="s">
        <v>53</v>
      </c>
      <c r="E21" s="84">
        <v>27195</v>
      </c>
      <c r="F21">
        <v>180693</v>
      </c>
      <c r="G21">
        <v>71</v>
      </c>
      <c r="H21">
        <v>125771062</v>
      </c>
      <c r="I21" t="s">
        <v>818</v>
      </c>
      <c r="J21" t="s">
        <v>1786</v>
      </c>
      <c r="K21">
        <v>0.30399999999999999</v>
      </c>
      <c r="L21">
        <v>0.30499999999999999</v>
      </c>
      <c r="M21">
        <v>2</v>
      </c>
      <c r="N21">
        <v>-10.879</v>
      </c>
      <c r="O21">
        <v>1</v>
      </c>
      <c r="P21">
        <v>2.98E-2</v>
      </c>
      <c r="Q21">
        <v>0.871</v>
      </c>
      <c r="R21">
        <v>3.6800000000000001E-3</v>
      </c>
      <c r="S21">
        <v>0.36699999999999999</v>
      </c>
      <c r="T21">
        <v>0.46400000000000002</v>
      </c>
      <c r="U21">
        <v>146.066</v>
      </c>
      <c r="V21">
        <v>3</v>
      </c>
    </row>
    <row r="22" spans="1:22" ht="15" customHeight="1" x14ac:dyDescent="0.2">
      <c r="A22" t="s">
        <v>1600</v>
      </c>
      <c r="B22" t="s">
        <v>1601</v>
      </c>
      <c r="C22" t="s">
        <v>1602</v>
      </c>
      <c r="D22" t="s">
        <v>1599</v>
      </c>
      <c r="E22" s="84">
        <v>32832</v>
      </c>
      <c r="F22">
        <v>322133</v>
      </c>
      <c r="G22">
        <v>84</v>
      </c>
      <c r="H22">
        <v>125771062</v>
      </c>
      <c r="I22" t="s">
        <v>1603</v>
      </c>
      <c r="J22" t="s">
        <v>1787</v>
      </c>
      <c r="K22">
        <v>0.78</v>
      </c>
      <c r="L22">
        <v>0.56499999999999995</v>
      </c>
      <c r="M22">
        <v>3</v>
      </c>
      <c r="N22">
        <v>-7.32</v>
      </c>
      <c r="O22">
        <v>0</v>
      </c>
      <c r="P22">
        <v>3.0599999999999999E-2</v>
      </c>
      <c r="Q22">
        <v>0.73599999999999999</v>
      </c>
      <c r="R22">
        <v>2.6900000000000001E-3</v>
      </c>
      <c r="S22">
        <v>6.3E-2</v>
      </c>
      <c r="T22">
        <v>0.36499999999999999</v>
      </c>
      <c r="U22">
        <v>101.967</v>
      </c>
      <c r="V22">
        <v>4</v>
      </c>
    </row>
    <row r="23" spans="1:22" ht="12.75" x14ac:dyDescent="0.2">
      <c r="A23" t="s">
        <v>1775</v>
      </c>
      <c r="B23" t="s">
        <v>1867</v>
      </c>
      <c r="C23" t="s">
        <v>1776</v>
      </c>
      <c r="D23" t="s">
        <v>1777</v>
      </c>
      <c r="E23" s="84">
        <v>40847</v>
      </c>
      <c r="F23">
        <v>229245</v>
      </c>
      <c r="G23">
        <v>18</v>
      </c>
      <c r="H23">
        <v>125771062</v>
      </c>
      <c r="I23" t="s">
        <v>1778</v>
      </c>
      <c r="J23" t="s">
        <v>1937</v>
      </c>
      <c r="K23">
        <v>0.627</v>
      </c>
      <c r="L23">
        <v>8.1900000000000001E-2</v>
      </c>
      <c r="M23">
        <v>5</v>
      </c>
      <c r="N23">
        <v>-27.516999999999999</v>
      </c>
      <c r="O23">
        <v>1</v>
      </c>
      <c r="P23">
        <v>3.6600000000000001E-2</v>
      </c>
      <c r="Q23">
        <v>0.76900000000000002</v>
      </c>
      <c r="R23">
        <v>2.8299999999999999E-2</v>
      </c>
      <c r="S23">
        <v>0.113</v>
      </c>
      <c r="T23">
        <v>0.36899999999999999</v>
      </c>
      <c r="U23">
        <v>88.638000000000005</v>
      </c>
      <c r="V23">
        <v>4</v>
      </c>
    </row>
    <row r="24" spans="1:22" ht="15" customHeight="1" x14ac:dyDescent="0.2">
      <c r="A24" t="s">
        <v>848</v>
      </c>
      <c r="B24" t="s">
        <v>56</v>
      </c>
      <c r="C24" t="s">
        <v>849</v>
      </c>
      <c r="D24" t="s">
        <v>666</v>
      </c>
      <c r="E24" s="84">
        <v>38145</v>
      </c>
      <c r="F24">
        <v>299520</v>
      </c>
      <c r="G24">
        <v>27</v>
      </c>
      <c r="H24">
        <v>125771062</v>
      </c>
      <c r="I24" t="s">
        <v>850</v>
      </c>
      <c r="J24" t="s">
        <v>1868</v>
      </c>
      <c r="K24">
        <v>0.67600000000000005</v>
      </c>
      <c r="L24">
        <v>0.38900000000000001</v>
      </c>
      <c r="M24">
        <v>10</v>
      </c>
      <c r="N24">
        <v>-14.082000000000001</v>
      </c>
      <c r="O24">
        <v>1</v>
      </c>
      <c r="P24">
        <v>2.81E-2</v>
      </c>
      <c r="Q24">
        <v>0.46100000000000002</v>
      </c>
      <c r="R24">
        <v>0.432</v>
      </c>
      <c r="S24">
        <v>0.17899999999999999</v>
      </c>
      <c r="T24">
        <v>0.64600000000000002</v>
      </c>
      <c r="U24">
        <v>114.024</v>
      </c>
      <c r="V24">
        <v>4</v>
      </c>
    </row>
    <row r="25" spans="1:22" ht="15" customHeight="1" x14ac:dyDescent="0.2">
      <c r="A25" t="s">
        <v>853</v>
      </c>
      <c r="B25" t="s">
        <v>67</v>
      </c>
      <c r="C25" t="s">
        <v>854</v>
      </c>
      <c r="D25" t="s">
        <v>668</v>
      </c>
      <c r="E25" s="84">
        <v>39766</v>
      </c>
      <c r="F25">
        <v>221653</v>
      </c>
      <c r="G25">
        <v>48</v>
      </c>
      <c r="H25">
        <v>125771062</v>
      </c>
      <c r="I25" t="s">
        <v>852</v>
      </c>
      <c r="K25">
        <v>0.35</v>
      </c>
      <c r="L25">
        <v>0.40300000000000002</v>
      </c>
      <c r="M25">
        <v>0</v>
      </c>
      <c r="N25">
        <v>-9.57</v>
      </c>
      <c r="O25">
        <v>1</v>
      </c>
      <c r="P25">
        <v>2.7900000000000001E-2</v>
      </c>
      <c r="Q25">
        <v>0.78600000000000003</v>
      </c>
      <c r="R25">
        <v>0</v>
      </c>
      <c r="S25">
        <v>0.12</v>
      </c>
      <c r="T25">
        <v>0.20100000000000001</v>
      </c>
      <c r="U25">
        <v>104.95699999999999</v>
      </c>
      <c r="V25">
        <v>3</v>
      </c>
    </row>
    <row r="26" spans="1:22" ht="15" customHeight="1" x14ac:dyDescent="0.2">
      <c r="A26" t="s">
        <v>855</v>
      </c>
      <c r="B26" t="s">
        <v>669</v>
      </c>
      <c r="C26" t="s">
        <v>856</v>
      </c>
      <c r="D26" t="s">
        <v>73</v>
      </c>
      <c r="E26" s="84">
        <v>36172</v>
      </c>
      <c r="F26">
        <v>211066</v>
      </c>
      <c r="G26">
        <v>86</v>
      </c>
      <c r="H26">
        <v>125771062</v>
      </c>
      <c r="I26" t="s">
        <v>852</v>
      </c>
      <c r="J26" t="s">
        <v>793</v>
      </c>
      <c r="K26">
        <v>0.75900000000000001</v>
      </c>
      <c r="L26">
        <v>0.69899999999999995</v>
      </c>
      <c r="M26">
        <v>0</v>
      </c>
      <c r="N26">
        <v>-5.7450000000000001</v>
      </c>
      <c r="O26">
        <v>0</v>
      </c>
      <c r="P26">
        <v>3.0700000000000002E-2</v>
      </c>
      <c r="Q26">
        <v>0.20200000000000001</v>
      </c>
      <c r="R26">
        <v>1.3100000000000001E-4</v>
      </c>
      <c r="S26">
        <v>0.443</v>
      </c>
      <c r="T26">
        <v>0.90700000000000003</v>
      </c>
      <c r="U26">
        <v>92.96</v>
      </c>
      <c r="V26">
        <v>4</v>
      </c>
    </row>
    <row r="27" spans="1:22" ht="15" customHeight="1" x14ac:dyDescent="0.2">
      <c r="A27" t="s">
        <v>857</v>
      </c>
      <c r="B27" t="s">
        <v>670</v>
      </c>
      <c r="C27" t="s">
        <v>858</v>
      </c>
      <c r="D27" t="s">
        <v>75</v>
      </c>
      <c r="E27" s="84">
        <v>40578</v>
      </c>
      <c r="F27">
        <v>236866</v>
      </c>
      <c r="G27">
        <v>19</v>
      </c>
      <c r="H27">
        <v>125771062</v>
      </c>
      <c r="I27" t="s">
        <v>859</v>
      </c>
      <c r="J27" t="s">
        <v>1789</v>
      </c>
      <c r="K27">
        <v>0.745</v>
      </c>
      <c r="L27">
        <v>0.376</v>
      </c>
      <c r="M27">
        <v>6</v>
      </c>
      <c r="N27">
        <v>-9.5210000000000008</v>
      </c>
      <c r="O27">
        <v>0</v>
      </c>
      <c r="P27">
        <v>5.4100000000000002E-2</v>
      </c>
      <c r="Q27">
        <v>0.97499999999999998</v>
      </c>
      <c r="R27">
        <v>4.7800000000000002E-2</v>
      </c>
      <c r="S27">
        <v>0.128</v>
      </c>
      <c r="T27">
        <v>0.65400000000000003</v>
      </c>
      <c r="U27">
        <v>126.212</v>
      </c>
      <c r="V27">
        <v>4</v>
      </c>
    </row>
    <row r="28" spans="1:22" ht="15" customHeight="1" x14ac:dyDescent="0.2">
      <c r="A28" t="s">
        <v>1325</v>
      </c>
      <c r="B28" t="s">
        <v>1324</v>
      </c>
      <c r="C28" t="s">
        <v>1326</v>
      </c>
      <c r="D28" t="s">
        <v>643</v>
      </c>
      <c r="E28" s="84">
        <v>42909</v>
      </c>
      <c r="F28">
        <v>204346</v>
      </c>
      <c r="G28">
        <v>88</v>
      </c>
      <c r="H28">
        <v>125771062</v>
      </c>
      <c r="I28" t="s">
        <v>1327</v>
      </c>
      <c r="K28">
        <v>0.77600000000000002</v>
      </c>
      <c r="L28">
        <v>0.78</v>
      </c>
      <c r="M28">
        <v>10</v>
      </c>
      <c r="N28">
        <v>-4.3739999999999997</v>
      </c>
      <c r="O28">
        <v>0</v>
      </c>
      <c r="P28">
        <v>0.128</v>
      </c>
      <c r="Q28">
        <v>6.2199999999999998E-2</v>
      </c>
      <c r="R28">
        <v>0</v>
      </c>
      <c r="S28">
        <v>8.1000000000000003E-2</v>
      </c>
      <c r="T28">
        <v>0.66600000000000004</v>
      </c>
      <c r="U28">
        <v>124.949</v>
      </c>
      <c r="V28">
        <v>4</v>
      </c>
    </row>
    <row r="29" spans="1:22" ht="15" customHeight="1" x14ac:dyDescent="0.2">
      <c r="A29" t="s">
        <v>860</v>
      </c>
      <c r="B29" t="s">
        <v>671</v>
      </c>
      <c r="C29" t="s">
        <v>1790</v>
      </c>
      <c r="D29" t="s">
        <v>79</v>
      </c>
      <c r="E29" s="84">
        <v>38718</v>
      </c>
      <c r="F29">
        <v>241232</v>
      </c>
      <c r="G29">
        <v>65</v>
      </c>
      <c r="H29">
        <v>125771062</v>
      </c>
      <c r="I29" t="s">
        <v>852</v>
      </c>
      <c r="J29" t="s">
        <v>1938</v>
      </c>
      <c r="K29">
        <v>0.52100000000000002</v>
      </c>
      <c r="L29">
        <v>0.502</v>
      </c>
      <c r="M29">
        <v>5</v>
      </c>
      <c r="N29">
        <v>-8.5210000000000008</v>
      </c>
      <c r="O29">
        <v>0</v>
      </c>
      <c r="P29">
        <v>2.87E-2</v>
      </c>
      <c r="Q29">
        <v>0.88600000000000001</v>
      </c>
      <c r="R29">
        <v>0.02</v>
      </c>
      <c r="S29">
        <v>0.188</v>
      </c>
      <c r="T29">
        <v>0.378</v>
      </c>
      <c r="U29">
        <v>95.028000000000006</v>
      </c>
      <c r="V29">
        <v>4</v>
      </c>
    </row>
    <row r="30" spans="1:22" ht="15" customHeight="1" x14ac:dyDescent="0.2">
      <c r="A30" t="s">
        <v>861</v>
      </c>
      <c r="B30" t="s">
        <v>672</v>
      </c>
      <c r="C30" t="s">
        <v>862</v>
      </c>
      <c r="D30" t="s">
        <v>84</v>
      </c>
      <c r="E30" s="84">
        <v>42516</v>
      </c>
      <c r="F30">
        <v>176266</v>
      </c>
      <c r="G30">
        <v>56</v>
      </c>
      <c r="H30">
        <v>125771062</v>
      </c>
      <c r="I30" t="s">
        <v>852</v>
      </c>
      <c r="K30">
        <v>0.75600000000000001</v>
      </c>
      <c r="L30">
        <v>0.78900000000000003</v>
      </c>
      <c r="M30">
        <v>2</v>
      </c>
      <c r="N30">
        <v>-7.0019999999999998</v>
      </c>
      <c r="O30">
        <v>1</v>
      </c>
      <c r="P30">
        <v>3.2399999999999998E-2</v>
      </c>
      <c r="Q30">
        <v>0.53</v>
      </c>
      <c r="R30">
        <v>7.1100000000000004E-4</v>
      </c>
      <c r="S30">
        <v>0.157</v>
      </c>
      <c r="T30">
        <v>0.873</v>
      </c>
      <c r="U30">
        <v>127.98699999999999</v>
      </c>
      <c r="V30">
        <v>4</v>
      </c>
    </row>
    <row r="31" spans="1:22" ht="15" customHeight="1" x14ac:dyDescent="0.2">
      <c r="A31" t="s">
        <v>863</v>
      </c>
      <c r="B31" t="s">
        <v>790</v>
      </c>
      <c r="C31" t="s">
        <v>864</v>
      </c>
      <c r="D31" t="s">
        <v>791</v>
      </c>
      <c r="E31" s="84">
        <v>43560</v>
      </c>
      <c r="F31">
        <v>134800</v>
      </c>
      <c r="G31">
        <v>46</v>
      </c>
      <c r="H31">
        <v>125771062</v>
      </c>
      <c r="I31" t="s">
        <v>865</v>
      </c>
      <c r="J31" t="s">
        <v>1939</v>
      </c>
      <c r="K31">
        <v>0.61099999999999999</v>
      </c>
      <c r="L31">
        <v>0.47</v>
      </c>
      <c r="M31">
        <v>4</v>
      </c>
      <c r="N31">
        <v>-9.1349999999999998</v>
      </c>
      <c r="O31">
        <v>1</v>
      </c>
      <c r="P31">
        <v>3.56E-2</v>
      </c>
      <c r="Q31">
        <v>0.58499999999999996</v>
      </c>
      <c r="R31">
        <v>0</v>
      </c>
      <c r="S31">
        <v>0.57999999999999996</v>
      </c>
      <c r="T31">
        <v>0.97</v>
      </c>
      <c r="U31">
        <v>85.527000000000001</v>
      </c>
      <c r="V31">
        <v>4</v>
      </c>
    </row>
    <row r="32" spans="1:22" ht="15" customHeight="1" x14ac:dyDescent="0.2">
      <c r="A32" t="s">
        <v>1661</v>
      </c>
      <c r="B32" t="s">
        <v>1662</v>
      </c>
      <c r="C32" t="s">
        <v>1663</v>
      </c>
      <c r="D32" t="s">
        <v>426</v>
      </c>
      <c r="E32" s="84">
        <v>39486</v>
      </c>
      <c r="F32">
        <v>293826</v>
      </c>
      <c r="G32">
        <v>82</v>
      </c>
      <c r="H32">
        <v>125771062</v>
      </c>
      <c r="I32" t="s">
        <v>1664</v>
      </c>
      <c r="K32">
        <v>0.92</v>
      </c>
      <c r="L32">
        <v>0.65400000000000003</v>
      </c>
      <c r="M32">
        <v>11</v>
      </c>
      <c r="N32">
        <v>-3.0510000000000002</v>
      </c>
      <c r="O32">
        <v>0</v>
      </c>
      <c r="P32">
        <v>4.0099999999999997E-2</v>
      </c>
      <c r="Q32">
        <v>2.3599999999999999E-2</v>
      </c>
      <c r="R32">
        <v>1.5299999999999999E-2</v>
      </c>
      <c r="S32">
        <v>3.5999999999999997E-2</v>
      </c>
      <c r="T32">
        <v>0.84699999999999998</v>
      </c>
      <c r="U32">
        <v>117.04600000000001</v>
      </c>
      <c r="V32">
        <v>4</v>
      </c>
    </row>
    <row r="33" spans="1:22" ht="15" customHeight="1" x14ac:dyDescent="0.2">
      <c r="A33" t="s">
        <v>866</v>
      </c>
      <c r="B33" t="s">
        <v>85</v>
      </c>
      <c r="C33" t="s">
        <v>85</v>
      </c>
      <c r="D33" t="s">
        <v>86</v>
      </c>
      <c r="E33" s="84">
        <v>40676</v>
      </c>
      <c r="F33">
        <v>182933</v>
      </c>
      <c r="G33">
        <v>52</v>
      </c>
      <c r="H33">
        <v>125771062</v>
      </c>
      <c r="I33" t="s">
        <v>852</v>
      </c>
      <c r="J33" t="s">
        <v>1791</v>
      </c>
      <c r="K33">
        <v>0.76100000000000001</v>
      </c>
      <c r="L33">
        <v>0.371</v>
      </c>
      <c r="M33">
        <v>4</v>
      </c>
      <c r="N33">
        <v>-10.907999999999999</v>
      </c>
      <c r="O33">
        <v>0</v>
      </c>
      <c r="P33">
        <v>4.0300000000000002E-2</v>
      </c>
      <c r="Q33">
        <v>0.89200000000000002</v>
      </c>
      <c r="R33">
        <v>0.85299999999999998</v>
      </c>
      <c r="S33">
        <v>7.9100000000000004E-2</v>
      </c>
      <c r="T33">
        <v>0.86399999999999999</v>
      </c>
      <c r="U33">
        <v>98.989000000000004</v>
      </c>
      <c r="V33">
        <v>3</v>
      </c>
    </row>
    <row r="34" spans="1:22" ht="15" customHeight="1" x14ac:dyDescent="0.2">
      <c r="A34" t="s">
        <v>867</v>
      </c>
      <c r="B34" t="s">
        <v>1604</v>
      </c>
      <c r="C34" t="s">
        <v>868</v>
      </c>
      <c r="D34" t="s">
        <v>796</v>
      </c>
      <c r="E34" s="84">
        <v>35702</v>
      </c>
      <c r="F34">
        <v>357266</v>
      </c>
      <c r="G34">
        <v>87</v>
      </c>
      <c r="H34">
        <v>125771062</v>
      </c>
      <c r="I34" t="s">
        <v>869</v>
      </c>
      <c r="J34" t="s">
        <v>1792</v>
      </c>
      <c r="K34">
        <v>0.35599999999999998</v>
      </c>
      <c r="L34">
        <v>0.91700000000000004</v>
      </c>
      <c r="M34">
        <v>9</v>
      </c>
      <c r="N34">
        <v>-6.0060000000000002</v>
      </c>
      <c r="O34">
        <v>1</v>
      </c>
      <c r="P34">
        <v>4.7899999999999998E-2</v>
      </c>
      <c r="Q34">
        <v>3.3500000000000002E-2</v>
      </c>
      <c r="R34">
        <v>0</v>
      </c>
      <c r="S34">
        <v>0.40600000000000003</v>
      </c>
      <c r="T34">
        <v>0.51800000000000002</v>
      </c>
      <c r="U34">
        <v>171.17599999999999</v>
      </c>
      <c r="V34">
        <v>4</v>
      </c>
    </row>
    <row r="35" spans="1:22" ht="15" customHeight="1" x14ac:dyDescent="0.2">
      <c r="A35" t="s">
        <v>1869</v>
      </c>
      <c r="B35" t="s">
        <v>1870</v>
      </c>
      <c r="C35" t="s">
        <v>1871</v>
      </c>
      <c r="D35" t="s">
        <v>426</v>
      </c>
      <c r="E35" s="84">
        <v>37942</v>
      </c>
      <c r="F35">
        <v>200060</v>
      </c>
      <c r="G35">
        <v>68</v>
      </c>
      <c r="H35">
        <v>125771062</v>
      </c>
      <c r="I35" t="s">
        <v>1872</v>
      </c>
      <c r="K35">
        <v>0.75900000000000001</v>
      </c>
      <c r="L35">
        <v>0.92700000000000005</v>
      </c>
      <c r="M35">
        <v>9</v>
      </c>
      <c r="N35">
        <v>-2.7679999999999998</v>
      </c>
      <c r="O35">
        <v>1</v>
      </c>
      <c r="P35">
        <v>5.0999999999999997E-2</v>
      </c>
      <c r="Q35">
        <v>0.11</v>
      </c>
      <c r="R35">
        <v>2.9000000000000001E-2</v>
      </c>
      <c r="S35">
        <v>0.374</v>
      </c>
      <c r="T35">
        <v>0.96</v>
      </c>
      <c r="U35">
        <v>115.075</v>
      </c>
      <c r="V35">
        <v>4</v>
      </c>
    </row>
    <row r="36" spans="1:22" ht="15" customHeight="1" x14ac:dyDescent="0.2">
      <c r="A36" t="s">
        <v>1665</v>
      </c>
      <c r="B36" t="s">
        <v>1666</v>
      </c>
      <c r="C36" t="s">
        <v>1667</v>
      </c>
      <c r="D36" t="s">
        <v>673</v>
      </c>
      <c r="E36" s="84">
        <v>25164</v>
      </c>
      <c r="F36">
        <v>138386</v>
      </c>
      <c r="G36">
        <v>80</v>
      </c>
      <c r="H36">
        <v>125771062</v>
      </c>
      <c r="I36" t="s">
        <v>1668</v>
      </c>
      <c r="J36" t="s">
        <v>1781</v>
      </c>
      <c r="K36">
        <v>0.68600000000000005</v>
      </c>
      <c r="L36">
        <v>0.127</v>
      </c>
      <c r="M36">
        <v>7</v>
      </c>
      <c r="N36">
        <v>-14.361000000000001</v>
      </c>
      <c r="O36">
        <v>1</v>
      </c>
      <c r="P36">
        <v>3.4200000000000001E-2</v>
      </c>
      <c r="Q36">
        <v>0.754</v>
      </c>
      <c r="R36">
        <v>1.4100000000000001E-5</v>
      </c>
      <c r="S36">
        <v>5.7299999999999997E-2</v>
      </c>
      <c r="T36">
        <v>0.372</v>
      </c>
      <c r="U36">
        <v>93.698999999999998</v>
      </c>
      <c r="V36">
        <v>4</v>
      </c>
    </row>
    <row r="37" spans="1:22" ht="15" customHeight="1" x14ac:dyDescent="0.2">
      <c r="A37" t="s">
        <v>870</v>
      </c>
      <c r="B37" t="s">
        <v>535</v>
      </c>
      <c r="C37" t="s">
        <v>871</v>
      </c>
      <c r="D37" t="s">
        <v>674</v>
      </c>
      <c r="E37" s="84">
        <v>43910</v>
      </c>
      <c r="F37">
        <v>200040</v>
      </c>
      <c r="G37">
        <v>90</v>
      </c>
      <c r="H37">
        <v>125771062</v>
      </c>
      <c r="I37" t="s">
        <v>852</v>
      </c>
      <c r="K37">
        <v>0.51300000000000001</v>
      </c>
      <c r="L37">
        <v>0.73</v>
      </c>
      <c r="M37">
        <v>1</v>
      </c>
      <c r="N37">
        <v>-5.94</v>
      </c>
      <c r="O37">
        <v>1</v>
      </c>
      <c r="P37">
        <v>5.9799999999999999E-2</v>
      </c>
      <c r="Q37">
        <v>1.4300000000000001E-3</v>
      </c>
      <c r="R37">
        <v>9.5400000000000001E-5</v>
      </c>
      <c r="S37">
        <v>8.9700000000000002E-2</v>
      </c>
      <c r="T37">
        <v>0.33400000000000002</v>
      </c>
      <c r="U37">
        <v>171.001</v>
      </c>
      <c r="V37">
        <v>4</v>
      </c>
    </row>
    <row r="38" spans="1:22" ht="15" customHeight="1" x14ac:dyDescent="0.2">
      <c r="A38" t="s">
        <v>872</v>
      </c>
      <c r="B38" t="s">
        <v>675</v>
      </c>
      <c r="C38" t="s">
        <v>873</v>
      </c>
      <c r="D38" t="s">
        <v>1873</v>
      </c>
      <c r="E38">
        <v>1963</v>
      </c>
      <c r="F38">
        <v>177360</v>
      </c>
      <c r="G38">
        <v>60</v>
      </c>
      <c r="H38">
        <v>125771062</v>
      </c>
      <c r="I38" t="s">
        <v>852</v>
      </c>
      <c r="J38" t="s">
        <v>1793</v>
      </c>
      <c r="K38">
        <v>0.38100000000000001</v>
      </c>
      <c r="L38">
        <v>8.48E-2</v>
      </c>
      <c r="M38">
        <v>5</v>
      </c>
      <c r="N38">
        <v>-17.77</v>
      </c>
      <c r="O38">
        <v>1</v>
      </c>
      <c r="P38">
        <v>3.2000000000000001E-2</v>
      </c>
      <c r="Q38">
        <v>0.83399999999999996</v>
      </c>
      <c r="R38">
        <v>0</v>
      </c>
      <c r="S38">
        <v>0.112</v>
      </c>
      <c r="T38">
        <v>0.55700000000000005</v>
      </c>
      <c r="U38">
        <v>155.036</v>
      </c>
      <c r="V38">
        <v>4</v>
      </c>
    </row>
    <row r="39" spans="1:22" ht="15" customHeight="1" x14ac:dyDescent="0.2">
      <c r="A39" t="s">
        <v>874</v>
      </c>
      <c r="B39" t="s">
        <v>676</v>
      </c>
      <c r="C39" t="s">
        <v>581</v>
      </c>
      <c r="D39" t="s">
        <v>581</v>
      </c>
      <c r="E39">
        <v>1972</v>
      </c>
      <c r="F39">
        <v>189044</v>
      </c>
      <c r="G39">
        <v>78</v>
      </c>
      <c r="H39">
        <v>125771062</v>
      </c>
      <c r="I39" t="s">
        <v>852</v>
      </c>
      <c r="J39" t="s">
        <v>1328</v>
      </c>
      <c r="K39">
        <v>0.71599999999999997</v>
      </c>
      <c r="L39">
        <v>0.625</v>
      </c>
      <c r="M39">
        <v>1</v>
      </c>
      <c r="N39">
        <v>-11.369</v>
      </c>
      <c r="O39">
        <v>0</v>
      </c>
      <c r="P39">
        <v>6.0100000000000001E-2</v>
      </c>
      <c r="Q39">
        <v>0.39600000000000002</v>
      </c>
      <c r="R39">
        <v>1.9700000000000001E-5</v>
      </c>
      <c r="S39">
        <v>0.13400000000000001</v>
      </c>
      <c r="T39">
        <v>0.82599999999999996</v>
      </c>
      <c r="U39">
        <v>125.276</v>
      </c>
      <c r="V39">
        <v>4</v>
      </c>
    </row>
    <row r="40" spans="1:22" ht="15" customHeight="1" x14ac:dyDescent="0.2">
      <c r="A40" t="s">
        <v>875</v>
      </c>
      <c r="B40" t="s">
        <v>95</v>
      </c>
      <c r="C40" t="s">
        <v>876</v>
      </c>
      <c r="D40" t="s">
        <v>1874</v>
      </c>
      <c r="E40">
        <v>2003</v>
      </c>
      <c r="F40">
        <v>205426</v>
      </c>
      <c r="G40">
        <v>33</v>
      </c>
      <c r="H40">
        <v>125771062</v>
      </c>
      <c r="I40" t="s">
        <v>852</v>
      </c>
      <c r="J40" t="s">
        <v>1940</v>
      </c>
      <c r="K40">
        <v>0.49199999999999999</v>
      </c>
      <c r="L40">
        <v>0.52100000000000002</v>
      </c>
      <c r="M40">
        <v>5</v>
      </c>
      <c r="N40">
        <v>-13.08</v>
      </c>
      <c r="O40">
        <v>1</v>
      </c>
      <c r="P40">
        <v>6.3500000000000001E-2</v>
      </c>
      <c r="Q40">
        <v>0.35</v>
      </c>
      <c r="R40">
        <v>0.77</v>
      </c>
      <c r="S40">
        <v>7.9699999999999993E-2</v>
      </c>
      <c r="T40">
        <v>0.92</v>
      </c>
      <c r="U40">
        <v>105.03</v>
      </c>
      <c r="V40">
        <v>3</v>
      </c>
    </row>
    <row r="41" spans="1:22" ht="15" customHeight="1" x14ac:dyDescent="0.2">
      <c r="A41" t="s">
        <v>877</v>
      </c>
      <c r="B41" t="s">
        <v>98</v>
      </c>
      <c r="C41" t="s">
        <v>878</v>
      </c>
      <c r="D41" t="s">
        <v>99</v>
      </c>
      <c r="E41" s="84">
        <v>34700</v>
      </c>
      <c r="F41">
        <v>257373</v>
      </c>
      <c r="G41">
        <v>73</v>
      </c>
      <c r="H41">
        <v>125771062</v>
      </c>
      <c r="I41" t="s">
        <v>852</v>
      </c>
      <c r="K41">
        <v>0.622</v>
      </c>
      <c r="L41">
        <v>0.82899999999999996</v>
      </c>
      <c r="M41">
        <v>2</v>
      </c>
      <c r="N41">
        <v>-5.548</v>
      </c>
      <c r="O41">
        <v>1</v>
      </c>
      <c r="P41">
        <v>2.9000000000000001E-2</v>
      </c>
      <c r="Q41">
        <v>0.11</v>
      </c>
      <c r="R41">
        <v>0</v>
      </c>
      <c r="S41">
        <v>9.5399999999999999E-2</v>
      </c>
      <c r="T41">
        <v>0.53900000000000003</v>
      </c>
      <c r="U41">
        <v>110.367</v>
      </c>
      <c r="V41">
        <v>4</v>
      </c>
    </row>
    <row r="42" spans="1:22" ht="15" customHeight="1" x14ac:dyDescent="0.2">
      <c r="A42" t="s">
        <v>1669</v>
      </c>
      <c r="B42" t="s">
        <v>1670</v>
      </c>
      <c r="C42" t="s">
        <v>1671</v>
      </c>
      <c r="D42" t="s">
        <v>1672</v>
      </c>
      <c r="E42">
        <v>2005</v>
      </c>
      <c r="F42">
        <v>279826</v>
      </c>
      <c r="G42">
        <v>66</v>
      </c>
      <c r="H42">
        <v>125771062</v>
      </c>
      <c r="I42" t="s">
        <v>1673</v>
      </c>
      <c r="K42">
        <v>0.38600000000000001</v>
      </c>
      <c r="L42">
        <v>0.45200000000000001</v>
      </c>
      <c r="M42">
        <v>2</v>
      </c>
      <c r="N42">
        <v>-7.7149999999999999</v>
      </c>
      <c r="O42">
        <v>1</v>
      </c>
      <c r="P42">
        <v>2.7799999999999998E-2</v>
      </c>
      <c r="Q42">
        <v>0.41699999999999998</v>
      </c>
      <c r="R42">
        <v>0</v>
      </c>
      <c r="S42">
        <v>8.8099999999999998E-2</v>
      </c>
      <c r="T42">
        <v>0.28699999999999998</v>
      </c>
      <c r="U42">
        <v>169.83699999999999</v>
      </c>
      <c r="V42">
        <v>3</v>
      </c>
    </row>
    <row r="43" spans="1:22" ht="15" customHeight="1" x14ac:dyDescent="0.2">
      <c r="A43" t="s">
        <v>879</v>
      </c>
      <c r="B43" t="s">
        <v>100</v>
      </c>
      <c r="C43" t="s">
        <v>880</v>
      </c>
      <c r="D43" t="s">
        <v>101</v>
      </c>
      <c r="E43" t="s">
        <v>677</v>
      </c>
      <c r="F43">
        <v>183306</v>
      </c>
      <c r="G43">
        <v>19</v>
      </c>
      <c r="H43">
        <v>125771062</v>
      </c>
      <c r="I43" t="s">
        <v>852</v>
      </c>
      <c r="K43">
        <v>0.49099999999999999</v>
      </c>
      <c r="L43">
        <v>0.58299999999999996</v>
      </c>
      <c r="M43">
        <v>7</v>
      </c>
      <c r="N43">
        <v>-10.964</v>
      </c>
      <c r="O43">
        <v>1</v>
      </c>
      <c r="P43">
        <v>3.7600000000000001E-2</v>
      </c>
      <c r="Q43">
        <v>0.185</v>
      </c>
      <c r="R43">
        <v>0</v>
      </c>
      <c r="S43">
        <v>0.40600000000000003</v>
      </c>
      <c r="T43">
        <v>0.90800000000000003</v>
      </c>
      <c r="U43">
        <v>150.566</v>
      </c>
      <c r="V43">
        <v>4</v>
      </c>
    </row>
    <row r="44" spans="1:22" ht="15" customHeight="1" x14ac:dyDescent="0.2">
      <c r="A44" t="s">
        <v>881</v>
      </c>
      <c r="B44" t="s">
        <v>102</v>
      </c>
      <c r="C44" t="s">
        <v>882</v>
      </c>
      <c r="D44" t="s">
        <v>103</v>
      </c>
      <c r="E44" s="84">
        <v>41820</v>
      </c>
      <c r="F44">
        <v>200573</v>
      </c>
      <c r="G44">
        <v>83</v>
      </c>
      <c r="H44">
        <v>125771062</v>
      </c>
      <c r="I44" t="s">
        <v>852</v>
      </c>
      <c r="K44">
        <v>0.71699999999999997</v>
      </c>
      <c r="L44">
        <v>0.45500000000000002</v>
      </c>
      <c r="M44">
        <v>5</v>
      </c>
      <c r="N44">
        <v>-8.3030000000000008</v>
      </c>
      <c r="O44">
        <v>1</v>
      </c>
      <c r="P44">
        <v>2.76E-2</v>
      </c>
      <c r="Q44">
        <v>8.4599999999999995E-2</v>
      </c>
      <c r="R44">
        <v>0</v>
      </c>
      <c r="S44">
        <v>0.11</v>
      </c>
      <c r="T44">
        <v>0.38900000000000001</v>
      </c>
      <c r="U44">
        <v>127.812</v>
      </c>
      <c r="V44">
        <v>4</v>
      </c>
    </row>
    <row r="45" spans="1:22" ht="15" customHeight="1" x14ac:dyDescent="0.2">
      <c r="A45" t="s">
        <v>883</v>
      </c>
      <c r="B45" t="s">
        <v>106</v>
      </c>
      <c r="C45" t="s">
        <v>884</v>
      </c>
      <c r="D45" t="s">
        <v>107</v>
      </c>
      <c r="E45" s="84">
        <v>39580</v>
      </c>
      <c r="F45">
        <v>299066</v>
      </c>
      <c r="G45">
        <v>46</v>
      </c>
      <c r="H45">
        <v>125771062</v>
      </c>
      <c r="I45" t="s">
        <v>852</v>
      </c>
      <c r="J45" t="s">
        <v>1794</v>
      </c>
      <c r="K45">
        <v>0.71799999999999997</v>
      </c>
      <c r="L45">
        <v>0.65800000000000003</v>
      </c>
      <c r="M45">
        <v>10</v>
      </c>
      <c r="N45">
        <v>-7.2069999999999999</v>
      </c>
      <c r="O45">
        <v>0</v>
      </c>
      <c r="P45">
        <v>6.6400000000000001E-2</v>
      </c>
      <c r="Q45">
        <v>0.14599999999999999</v>
      </c>
      <c r="R45">
        <v>0</v>
      </c>
      <c r="S45">
        <v>0.20200000000000001</v>
      </c>
      <c r="T45">
        <v>0.80400000000000005</v>
      </c>
      <c r="U45">
        <v>108.10299999999999</v>
      </c>
      <c r="V45">
        <v>4</v>
      </c>
    </row>
    <row r="46" spans="1:22" ht="15" customHeight="1" x14ac:dyDescent="0.2">
      <c r="A46" t="s">
        <v>885</v>
      </c>
      <c r="B46" t="s">
        <v>108</v>
      </c>
      <c r="C46" t="s">
        <v>840</v>
      </c>
      <c r="D46" t="s">
        <v>665</v>
      </c>
      <c r="E46" s="84">
        <v>23590</v>
      </c>
      <c r="F46">
        <v>142906</v>
      </c>
      <c r="G46">
        <v>54</v>
      </c>
      <c r="H46">
        <v>125771062</v>
      </c>
      <c r="I46" t="s">
        <v>852</v>
      </c>
      <c r="J46" t="s">
        <v>1785</v>
      </c>
      <c r="K46">
        <v>0.54700000000000004</v>
      </c>
      <c r="L46">
        <v>0.52300000000000002</v>
      </c>
      <c r="M46">
        <v>9</v>
      </c>
      <c r="N46">
        <v>-9.1760000000000002</v>
      </c>
      <c r="O46">
        <v>1</v>
      </c>
      <c r="P46">
        <v>5.7200000000000001E-2</v>
      </c>
      <c r="Q46">
        <v>0.72399999999999998</v>
      </c>
      <c r="R46">
        <v>0</v>
      </c>
      <c r="S46">
        <v>0.10299999999999999</v>
      </c>
      <c r="T46">
        <v>0.89</v>
      </c>
      <c r="U46">
        <v>169.59800000000001</v>
      </c>
      <c r="V46">
        <v>4</v>
      </c>
    </row>
    <row r="47" spans="1:22" ht="15" customHeight="1" x14ac:dyDescent="0.2">
      <c r="A47" t="s">
        <v>886</v>
      </c>
      <c r="B47" t="s">
        <v>546</v>
      </c>
      <c r="C47" t="s">
        <v>887</v>
      </c>
      <c r="D47" t="s">
        <v>326</v>
      </c>
      <c r="E47" s="84">
        <v>21713</v>
      </c>
      <c r="F47">
        <v>159693</v>
      </c>
      <c r="G47">
        <v>57</v>
      </c>
      <c r="H47">
        <v>125771062</v>
      </c>
      <c r="I47" t="s">
        <v>852</v>
      </c>
      <c r="J47" t="s">
        <v>1795</v>
      </c>
      <c r="K47">
        <v>0.70299999999999996</v>
      </c>
      <c r="L47">
        <v>0.64900000000000002</v>
      </c>
      <c r="M47">
        <v>8</v>
      </c>
      <c r="N47">
        <v>-7.7270000000000003</v>
      </c>
      <c r="O47">
        <v>0</v>
      </c>
      <c r="P47">
        <v>3.1199999999999999E-2</v>
      </c>
      <c r="Q47">
        <v>0.39700000000000002</v>
      </c>
      <c r="R47">
        <v>0</v>
      </c>
      <c r="S47">
        <v>0.20899999999999999</v>
      </c>
      <c r="T47">
        <v>0.86199999999999999</v>
      </c>
      <c r="U47">
        <v>122.71899999999999</v>
      </c>
      <c r="V47">
        <v>4</v>
      </c>
    </row>
    <row r="48" spans="1:22" ht="15" customHeight="1" x14ac:dyDescent="0.2">
      <c r="A48" t="s">
        <v>888</v>
      </c>
      <c r="B48" t="s">
        <v>109</v>
      </c>
      <c r="C48" t="s">
        <v>889</v>
      </c>
      <c r="D48" t="s">
        <v>110</v>
      </c>
      <c r="E48" s="84">
        <v>36319</v>
      </c>
      <c r="F48">
        <v>329733</v>
      </c>
      <c r="G48">
        <v>88</v>
      </c>
      <c r="H48">
        <v>125771062</v>
      </c>
      <c r="I48" t="s">
        <v>852</v>
      </c>
      <c r="J48" t="s">
        <v>1796</v>
      </c>
      <c r="K48">
        <v>0.59199999999999997</v>
      </c>
      <c r="L48">
        <v>0.76700000000000002</v>
      </c>
      <c r="M48">
        <v>9</v>
      </c>
      <c r="N48">
        <v>-2.7879999999999998</v>
      </c>
      <c r="O48">
        <v>0</v>
      </c>
      <c r="P48">
        <v>2.7E-2</v>
      </c>
      <c r="Q48">
        <v>2.0999999999999999E-3</v>
      </c>
      <c r="R48">
        <v>1.65E-3</v>
      </c>
      <c r="S48">
        <v>0.127</v>
      </c>
      <c r="T48">
        <v>0.32800000000000001</v>
      </c>
      <c r="U48">
        <v>96.483000000000004</v>
      </c>
      <c r="V48">
        <v>4</v>
      </c>
    </row>
    <row r="49" spans="1:22" ht="15" customHeight="1" x14ac:dyDescent="0.2">
      <c r="A49" t="s">
        <v>890</v>
      </c>
      <c r="B49" t="s">
        <v>678</v>
      </c>
      <c r="C49" t="s">
        <v>891</v>
      </c>
      <c r="D49" t="s">
        <v>104</v>
      </c>
      <c r="E49" s="84">
        <v>22574</v>
      </c>
      <c r="F49">
        <v>185877</v>
      </c>
      <c r="G49">
        <v>83</v>
      </c>
      <c r="H49">
        <v>125771062</v>
      </c>
      <c r="I49" t="s">
        <v>852</v>
      </c>
      <c r="J49" t="s">
        <v>1782</v>
      </c>
      <c r="K49">
        <v>0.39600000000000002</v>
      </c>
      <c r="L49">
        <v>0.29299999999999998</v>
      </c>
      <c r="M49">
        <v>2</v>
      </c>
      <c r="N49">
        <v>-14.061999999999999</v>
      </c>
      <c r="O49">
        <v>1</v>
      </c>
      <c r="P49">
        <v>2.75E-2</v>
      </c>
      <c r="Q49">
        <v>0.94099999999999995</v>
      </c>
      <c r="R49">
        <v>1.9599999999999999E-4</v>
      </c>
      <c r="S49">
        <v>0.105</v>
      </c>
      <c r="T49">
        <v>0.34300000000000003</v>
      </c>
      <c r="U49">
        <v>100.307</v>
      </c>
      <c r="V49">
        <v>3</v>
      </c>
    </row>
    <row r="50" spans="1:22" ht="15" customHeight="1" x14ac:dyDescent="0.2">
      <c r="A50" t="s">
        <v>892</v>
      </c>
      <c r="B50" t="s">
        <v>658</v>
      </c>
      <c r="C50" t="s">
        <v>893</v>
      </c>
      <c r="D50" t="s">
        <v>638</v>
      </c>
      <c r="E50">
        <v>1978</v>
      </c>
      <c r="F50">
        <v>193440</v>
      </c>
      <c r="G50">
        <v>65</v>
      </c>
      <c r="H50">
        <v>125771062</v>
      </c>
      <c r="I50" t="s">
        <v>894</v>
      </c>
      <c r="J50" t="s">
        <v>1797</v>
      </c>
      <c r="K50">
        <v>0.41899999999999998</v>
      </c>
      <c r="L50">
        <v>0.51600000000000001</v>
      </c>
      <c r="M50">
        <v>7</v>
      </c>
      <c r="N50">
        <v>-9.9369999999999994</v>
      </c>
      <c r="O50">
        <v>1</v>
      </c>
      <c r="P50">
        <v>3.3500000000000002E-2</v>
      </c>
      <c r="Q50">
        <v>0.49399999999999999</v>
      </c>
      <c r="R50">
        <v>4.4100000000000001E-6</v>
      </c>
      <c r="S50">
        <v>0.14799999999999999</v>
      </c>
      <c r="T50">
        <v>0.47599999999999998</v>
      </c>
      <c r="U50">
        <v>97.884</v>
      </c>
      <c r="V50">
        <v>4</v>
      </c>
    </row>
    <row r="51" spans="1:22" ht="15" customHeight="1" x14ac:dyDescent="0.2">
      <c r="A51" t="s">
        <v>895</v>
      </c>
      <c r="B51" t="s">
        <v>112</v>
      </c>
      <c r="C51" t="s">
        <v>896</v>
      </c>
      <c r="D51" t="s">
        <v>113</v>
      </c>
      <c r="E51" s="84">
        <v>36108</v>
      </c>
      <c r="F51">
        <v>300106</v>
      </c>
      <c r="G51">
        <v>8</v>
      </c>
      <c r="H51">
        <v>125771062</v>
      </c>
      <c r="I51" t="s">
        <v>852</v>
      </c>
      <c r="K51">
        <v>0.57399999999999995</v>
      </c>
      <c r="L51">
        <v>0.628</v>
      </c>
      <c r="M51">
        <v>2</v>
      </c>
      <c r="N51">
        <v>-8.8149999999999995</v>
      </c>
      <c r="O51">
        <v>0</v>
      </c>
      <c r="P51">
        <v>3.5999999999999997E-2</v>
      </c>
      <c r="Q51">
        <v>0.13</v>
      </c>
      <c r="R51">
        <v>0</v>
      </c>
      <c r="S51">
        <v>0.27100000000000002</v>
      </c>
      <c r="T51">
        <v>0.80300000000000005</v>
      </c>
      <c r="U51">
        <v>153.119</v>
      </c>
      <c r="V51">
        <v>4</v>
      </c>
    </row>
    <row r="52" spans="1:22" ht="15" customHeight="1" x14ac:dyDescent="0.2">
      <c r="A52" t="s">
        <v>897</v>
      </c>
      <c r="B52" t="s">
        <v>114</v>
      </c>
      <c r="C52" t="s">
        <v>817</v>
      </c>
      <c r="D52" t="s">
        <v>11</v>
      </c>
      <c r="E52" s="84">
        <v>39330</v>
      </c>
      <c r="F52">
        <v>234786</v>
      </c>
      <c r="G52">
        <v>65</v>
      </c>
      <c r="H52">
        <v>125771062</v>
      </c>
      <c r="I52" t="s">
        <v>852</v>
      </c>
      <c r="K52">
        <v>0.34399999999999997</v>
      </c>
      <c r="L52">
        <v>0.54900000000000004</v>
      </c>
      <c r="M52">
        <v>2</v>
      </c>
      <c r="N52">
        <v>-7.194</v>
      </c>
      <c r="O52">
        <v>1</v>
      </c>
      <c r="P52">
        <v>3.6999999999999998E-2</v>
      </c>
      <c r="Q52">
        <v>0.7</v>
      </c>
      <c r="R52">
        <v>1.1599999999999999E-6</v>
      </c>
      <c r="S52">
        <v>0.10100000000000001</v>
      </c>
      <c r="T52">
        <v>0.20599999999999999</v>
      </c>
      <c r="U52">
        <v>83.046000000000006</v>
      </c>
      <c r="V52">
        <v>4</v>
      </c>
    </row>
    <row r="53" spans="1:22" ht="15" customHeight="1" x14ac:dyDescent="0.2">
      <c r="A53" t="s">
        <v>898</v>
      </c>
      <c r="B53" t="s">
        <v>679</v>
      </c>
      <c r="C53" t="s">
        <v>679</v>
      </c>
      <c r="D53" t="s">
        <v>115</v>
      </c>
      <c r="E53" s="84">
        <v>42265</v>
      </c>
      <c r="F53">
        <v>240466</v>
      </c>
      <c r="G53">
        <v>52</v>
      </c>
      <c r="H53">
        <v>125771062</v>
      </c>
      <c r="I53" t="s">
        <v>852</v>
      </c>
      <c r="K53">
        <v>0.62</v>
      </c>
      <c r="L53">
        <v>0.44700000000000001</v>
      </c>
      <c r="M53">
        <v>1</v>
      </c>
      <c r="N53">
        <v>-9.3829999999999991</v>
      </c>
      <c r="O53">
        <v>0</v>
      </c>
      <c r="P53">
        <v>0.14699999999999999</v>
      </c>
      <c r="Q53">
        <v>0.81499999999999995</v>
      </c>
      <c r="R53">
        <v>2.1599999999999999E-4</v>
      </c>
      <c r="S53">
        <v>0.111</v>
      </c>
      <c r="T53">
        <v>0.61199999999999999</v>
      </c>
      <c r="U53">
        <v>86.647000000000006</v>
      </c>
      <c r="V53">
        <v>4</v>
      </c>
    </row>
    <row r="54" spans="1:22" ht="15" customHeight="1" x14ac:dyDescent="0.2">
      <c r="A54" t="s">
        <v>899</v>
      </c>
      <c r="B54" t="s">
        <v>116</v>
      </c>
      <c r="C54" t="s">
        <v>900</v>
      </c>
      <c r="D54" t="s">
        <v>1875</v>
      </c>
      <c r="E54" s="84">
        <v>42895</v>
      </c>
      <c r="F54">
        <v>237733</v>
      </c>
      <c r="G54">
        <v>73</v>
      </c>
      <c r="H54">
        <v>125771062</v>
      </c>
      <c r="I54" t="s">
        <v>852</v>
      </c>
      <c r="J54" t="s">
        <v>1798</v>
      </c>
      <c r="K54">
        <v>0.56200000000000006</v>
      </c>
      <c r="L54">
        <v>0.8</v>
      </c>
      <c r="M54">
        <v>0</v>
      </c>
      <c r="N54">
        <v>-5.4039999999999999</v>
      </c>
      <c r="O54">
        <v>1</v>
      </c>
      <c r="P54">
        <v>0.112</v>
      </c>
      <c r="Q54">
        <v>8.14E-2</v>
      </c>
      <c r="R54">
        <v>0</v>
      </c>
      <c r="S54">
        <v>0.19900000000000001</v>
      </c>
      <c r="T54">
        <v>0.47099999999999997</v>
      </c>
      <c r="U54">
        <v>95.028999999999996</v>
      </c>
      <c r="V54">
        <v>4</v>
      </c>
    </row>
    <row r="55" spans="1:22" ht="15" customHeight="1" x14ac:dyDescent="0.2">
      <c r="A55" t="s">
        <v>901</v>
      </c>
      <c r="B55" t="s">
        <v>562</v>
      </c>
      <c r="C55" t="s">
        <v>902</v>
      </c>
      <c r="D55" t="s">
        <v>563</v>
      </c>
      <c r="E55" s="84">
        <v>42664</v>
      </c>
      <c r="F55">
        <v>211666</v>
      </c>
      <c r="G55">
        <v>72</v>
      </c>
      <c r="H55">
        <v>125771062</v>
      </c>
      <c r="I55" t="s">
        <v>852</v>
      </c>
      <c r="K55">
        <v>0.628</v>
      </c>
      <c r="L55">
        <v>0.69799999999999995</v>
      </c>
      <c r="M55">
        <v>6</v>
      </c>
      <c r="N55">
        <v>-5.6079999999999997</v>
      </c>
      <c r="O55">
        <v>0</v>
      </c>
      <c r="P55">
        <v>0.105</v>
      </c>
      <c r="Q55">
        <v>4.7199999999999999E-2</v>
      </c>
      <c r="R55">
        <v>1.4300000000000001E-3</v>
      </c>
      <c r="S55">
        <v>9.0700000000000003E-2</v>
      </c>
      <c r="T55">
        <v>0.73199999999999998</v>
      </c>
      <c r="U55">
        <v>89.975999999999999</v>
      </c>
      <c r="V55">
        <v>4</v>
      </c>
    </row>
    <row r="56" spans="1:22" ht="15" customHeight="1" x14ac:dyDescent="0.2">
      <c r="A56" t="s">
        <v>903</v>
      </c>
      <c r="B56" t="s">
        <v>599</v>
      </c>
      <c r="C56" t="s">
        <v>904</v>
      </c>
      <c r="D56" t="s">
        <v>138</v>
      </c>
      <c r="E56">
        <v>1979</v>
      </c>
      <c r="F56">
        <v>326320</v>
      </c>
      <c r="G56">
        <v>78</v>
      </c>
      <c r="H56">
        <v>125771062</v>
      </c>
      <c r="I56" t="s">
        <v>852</v>
      </c>
      <c r="K56">
        <v>0.5</v>
      </c>
      <c r="L56">
        <v>0.55400000000000005</v>
      </c>
      <c r="M56">
        <v>9</v>
      </c>
      <c r="N56">
        <v>-8.1080000000000005</v>
      </c>
      <c r="O56">
        <v>1</v>
      </c>
      <c r="P56">
        <v>3.5400000000000001E-2</v>
      </c>
      <c r="Q56">
        <v>0.73399999999999999</v>
      </c>
      <c r="R56">
        <v>3.72E-6</v>
      </c>
      <c r="S56">
        <v>0.312</v>
      </c>
      <c r="T56">
        <v>0.372</v>
      </c>
      <c r="U56">
        <v>84.228999999999999</v>
      </c>
      <c r="V56">
        <v>4</v>
      </c>
    </row>
    <row r="57" spans="1:22" ht="15" customHeight="1" x14ac:dyDescent="0.2">
      <c r="A57" t="s">
        <v>905</v>
      </c>
      <c r="B57" t="s">
        <v>574</v>
      </c>
      <c r="C57" t="s">
        <v>906</v>
      </c>
      <c r="D57" t="s">
        <v>28</v>
      </c>
      <c r="E57" s="84">
        <v>37495</v>
      </c>
      <c r="F57">
        <v>307879</v>
      </c>
      <c r="G57">
        <v>87</v>
      </c>
      <c r="H57">
        <v>125771062</v>
      </c>
      <c r="I57" t="s">
        <v>852</v>
      </c>
      <c r="K57">
        <v>0.57699999999999996</v>
      </c>
      <c r="L57">
        <v>0.749</v>
      </c>
      <c r="M57">
        <v>5</v>
      </c>
      <c r="N57">
        <v>-7.2149999999999999</v>
      </c>
      <c r="O57">
        <v>0</v>
      </c>
      <c r="P57">
        <v>2.7900000000000001E-2</v>
      </c>
      <c r="Q57">
        <v>0.59899999999999998</v>
      </c>
      <c r="R57">
        <v>1.15E-2</v>
      </c>
      <c r="S57">
        <v>0.183</v>
      </c>
      <c r="T57">
        <v>0.255</v>
      </c>
      <c r="U57">
        <v>130.97</v>
      </c>
      <c r="V57">
        <v>4</v>
      </c>
    </row>
    <row r="58" spans="1:22" ht="15" customHeight="1" x14ac:dyDescent="0.2">
      <c r="A58" t="s">
        <v>907</v>
      </c>
      <c r="B58" t="s">
        <v>119</v>
      </c>
      <c r="C58" t="s">
        <v>908</v>
      </c>
      <c r="D58" t="s">
        <v>120</v>
      </c>
      <c r="E58" s="84">
        <v>37622</v>
      </c>
      <c r="F58">
        <v>274160</v>
      </c>
      <c r="G58">
        <v>70</v>
      </c>
      <c r="H58">
        <v>125771062</v>
      </c>
      <c r="I58" t="s">
        <v>852</v>
      </c>
      <c r="K58">
        <v>0.47799999999999998</v>
      </c>
      <c r="L58">
        <v>0.85399999999999998</v>
      </c>
      <c r="M58">
        <v>7</v>
      </c>
      <c r="N58">
        <v>-5.4539999999999997</v>
      </c>
      <c r="O58">
        <v>1</v>
      </c>
      <c r="P58">
        <v>2.8899999999999999E-2</v>
      </c>
      <c r="Q58">
        <v>2.0400000000000001E-2</v>
      </c>
      <c r="R58">
        <v>1.2100000000000001E-6</v>
      </c>
      <c r="S58">
        <v>0.115</v>
      </c>
      <c r="T58">
        <v>0.27400000000000002</v>
      </c>
      <c r="U58">
        <v>91.853999999999999</v>
      </c>
      <c r="V58">
        <v>4</v>
      </c>
    </row>
    <row r="59" spans="1:22" ht="15" customHeight="1" x14ac:dyDescent="0.2">
      <c r="A59" t="s">
        <v>909</v>
      </c>
      <c r="B59" t="s">
        <v>121</v>
      </c>
      <c r="C59" t="s">
        <v>910</v>
      </c>
      <c r="D59" t="s">
        <v>122</v>
      </c>
      <c r="E59" s="84">
        <v>35796</v>
      </c>
      <c r="F59">
        <v>225573</v>
      </c>
      <c r="G59">
        <v>53</v>
      </c>
      <c r="H59">
        <v>125771062</v>
      </c>
      <c r="I59" t="s">
        <v>852</v>
      </c>
      <c r="K59">
        <v>0.59</v>
      </c>
      <c r="L59">
        <v>0.72</v>
      </c>
      <c r="M59">
        <v>2</v>
      </c>
      <c r="N59">
        <v>-7.1269999999999998</v>
      </c>
      <c r="O59">
        <v>1</v>
      </c>
      <c r="P59">
        <v>2.63E-2</v>
      </c>
      <c r="Q59">
        <v>6.4100000000000004E-2</v>
      </c>
      <c r="R59">
        <v>0</v>
      </c>
      <c r="S59">
        <v>0.183</v>
      </c>
      <c r="T59">
        <v>0.61699999999999999</v>
      </c>
      <c r="U59">
        <v>109.64400000000001</v>
      </c>
      <c r="V59">
        <v>4</v>
      </c>
    </row>
    <row r="60" spans="1:22" ht="15" customHeight="1" x14ac:dyDescent="0.2">
      <c r="A60" t="s">
        <v>911</v>
      </c>
      <c r="B60" t="s">
        <v>680</v>
      </c>
      <c r="C60" t="s">
        <v>912</v>
      </c>
      <c r="D60" t="s">
        <v>638</v>
      </c>
      <c r="E60" s="84">
        <v>39335</v>
      </c>
      <c r="F60">
        <v>241346</v>
      </c>
      <c r="G60">
        <v>50</v>
      </c>
      <c r="H60">
        <v>125771062</v>
      </c>
      <c r="I60" t="s">
        <v>913</v>
      </c>
      <c r="J60" t="s">
        <v>1797</v>
      </c>
      <c r="K60">
        <v>0.76300000000000001</v>
      </c>
      <c r="L60">
        <v>0.66500000000000004</v>
      </c>
      <c r="M60">
        <v>9</v>
      </c>
      <c r="N60">
        <v>-7.9139999999999997</v>
      </c>
      <c r="O60">
        <v>0</v>
      </c>
      <c r="P60">
        <v>4.4400000000000002E-2</v>
      </c>
      <c r="Q60">
        <v>0.54200000000000004</v>
      </c>
      <c r="R60">
        <v>3.2799999999999998E-5</v>
      </c>
      <c r="S60">
        <v>9.7199999999999995E-2</v>
      </c>
      <c r="T60">
        <v>0.80300000000000005</v>
      </c>
      <c r="U60">
        <v>108.035</v>
      </c>
      <c r="V60">
        <v>4</v>
      </c>
    </row>
    <row r="61" spans="1:22" ht="15" customHeight="1" x14ac:dyDescent="0.2">
      <c r="A61" t="s">
        <v>914</v>
      </c>
      <c r="B61" t="s">
        <v>681</v>
      </c>
      <c r="C61" t="s">
        <v>915</v>
      </c>
      <c r="D61" t="s">
        <v>126</v>
      </c>
      <c r="E61" s="84">
        <v>40309</v>
      </c>
      <c r="F61">
        <v>197469</v>
      </c>
      <c r="G61">
        <v>81</v>
      </c>
      <c r="H61">
        <v>125771062</v>
      </c>
      <c r="I61" t="s">
        <v>852</v>
      </c>
      <c r="K61">
        <v>0.58899999999999997</v>
      </c>
      <c r="L61">
        <v>0.38900000000000001</v>
      </c>
      <c r="M61">
        <v>0</v>
      </c>
      <c r="N61">
        <v>-5.9720000000000004</v>
      </c>
      <c r="O61">
        <v>1</v>
      </c>
      <c r="P61">
        <v>2.8000000000000001E-2</v>
      </c>
      <c r="Q61">
        <v>0.85099999999999998</v>
      </c>
      <c r="R61">
        <v>0</v>
      </c>
      <c r="S61">
        <v>7.7200000000000005E-2</v>
      </c>
      <c r="T61">
        <v>0.501</v>
      </c>
      <c r="U61">
        <v>89.1</v>
      </c>
      <c r="V61">
        <v>4</v>
      </c>
    </row>
    <row r="62" spans="1:22" ht="15" customHeight="1" x14ac:dyDescent="0.2">
      <c r="A62" t="s">
        <v>1674</v>
      </c>
      <c r="B62" t="s">
        <v>1675</v>
      </c>
      <c r="C62" t="s">
        <v>1676</v>
      </c>
      <c r="D62" t="s">
        <v>1677</v>
      </c>
      <c r="E62" s="84">
        <v>41640</v>
      </c>
      <c r="F62">
        <v>257840</v>
      </c>
      <c r="G62">
        <v>74</v>
      </c>
      <c r="H62">
        <v>125771062</v>
      </c>
      <c r="I62" t="s">
        <v>1678</v>
      </c>
      <c r="J62" t="s">
        <v>1783</v>
      </c>
      <c r="K62">
        <v>0.66300000000000003</v>
      </c>
      <c r="L62">
        <v>0.70599999999999996</v>
      </c>
      <c r="M62">
        <v>1</v>
      </c>
      <c r="N62">
        <v>-4.9720000000000004</v>
      </c>
      <c r="O62">
        <v>0</v>
      </c>
      <c r="P62">
        <v>3.8300000000000001E-2</v>
      </c>
      <c r="Q62">
        <v>6.54E-2</v>
      </c>
      <c r="R62">
        <v>0</v>
      </c>
      <c r="S62">
        <v>0.115</v>
      </c>
      <c r="T62">
        <v>0.47399999999999998</v>
      </c>
      <c r="U62">
        <v>122.01300000000001</v>
      </c>
      <c r="V62">
        <v>4</v>
      </c>
    </row>
    <row r="63" spans="1:22" ht="15" customHeight="1" x14ac:dyDescent="0.2">
      <c r="A63" t="s">
        <v>916</v>
      </c>
      <c r="B63" t="s">
        <v>1876</v>
      </c>
      <c r="C63" t="s">
        <v>1877</v>
      </c>
      <c r="D63" t="s">
        <v>53</v>
      </c>
      <c r="E63">
        <v>1971</v>
      </c>
      <c r="F63">
        <v>193937</v>
      </c>
      <c r="G63">
        <v>79</v>
      </c>
      <c r="H63">
        <v>125771062</v>
      </c>
      <c r="I63" t="s">
        <v>852</v>
      </c>
      <c r="J63" t="s">
        <v>1786</v>
      </c>
      <c r="K63">
        <v>0.46200000000000002</v>
      </c>
      <c r="L63">
        <v>0.39500000000000002</v>
      </c>
      <c r="M63">
        <v>9</v>
      </c>
      <c r="N63">
        <v>-9.3759999999999994</v>
      </c>
      <c r="O63">
        <v>1</v>
      </c>
      <c r="P63">
        <v>2.64E-2</v>
      </c>
      <c r="Q63">
        <v>0.75800000000000001</v>
      </c>
      <c r="R63">
        <v>0</v>
      </c>
      <c r="S63">
        <v>0.121</v>
      </c>
      <c r="T63">
        <v>0.625</v>
      </c>
      <c r="U63">
        <v>82.259</v>
      </c>
      <c r="V63">
        <v>4</v>
      </c>
    </row>
    <row r="64" spans="1:22" ht="15" customHeight="1" x14ac:dyDescent="0.2">
      <c r="A64" t="s">
        <v>917</v>
      </c>
      <c r="B64" t="s">
        <v>129</v>
      </c>
      <c r="C64" t="s">
        <v>918</v>
      </c>
      <c r="D64" t="s">
        <v>682</v>
      </c>
      <c r="E64" s="84">
        <v>38839</v>
      </c>
      <c r="F64">
        <v>182066</v>
      </c>
      <c r="G64">
        <v>4</v>
      </c>
      <c r="H64">
        <v>125771062</v>
      </c>
      <c r="I64" t="s">
        <v>852</v>
      </c>
      <c r="K64">
        <v>0.83599999999999997</v>
      </c>
      <c r="L64">
        <v>0.74099999999999999</v>
      </c>
      <c r="M64">
        <v>8</v>
      </c>
      <c r="N64">
        <v>-1.609</v>
      </c>
      <c r="O64">
        <v>1</v>
      </c>
      <c r="P64">
        <v>3.39E-2</v>
      </c>
      <c r="Q64">
        <v>1.72E-2</v>
      </c>
      <c r="R64">
        <v>5.8299999999999998E-2</v>
      </c>
      <c r="S64">
        <v>8.2600000000000007E-2</v>
      </c>
      <c r="T64">
        <v>0.61099999999999999</v>
      </c>
      <c r="U64">
        <v>111.96299999999999</v>
      </c>
      <c r="V64">
        <v>4</v>
      </c>
    </row>
    <row r="65" spans="1:22" ht="15" customHeight="1" x14ac:dyDescent="0.2">
      <c r="A65" t="s">
        <v>919</v>
      </c>
      <c r="B65" t="s">
        <v>131</v>
      </c>
      <c r="C65" t="s">
        <v>920</v>
      </c>
      <c r="D65" t="s">
        <v>132</v>
      </c>
      <c r="E65" s="84">
        <v>29399</v>
      </c>
      <c r="F65">
        <v>163426</v>
      </c>
      <c r="G65">
        <v>0</v>
      </c>
      <c r="H65">
        <v>125771062</v>
      </c>
      <c r="I65" t="s">
        <v>852</v>
      </c>
      <c r="J65" t="s">
        <v>1799</v>
      </c>
      <c r="K65">
        <v>0.626</v>
      </c>
      <c r="L65">
        <v>0.56999999999999995</v>
      </c>
      <c r="M65">
        <v>0</v>
      </c>
      <c r="N65">
        <v>-13.452999999999999</v>
      </c>
      <c r="O65">
        <v>1</v>
      </c>
      <c r="P65">
        <v>4.2099999999999999E-2</v>
      </c>
      <c r="Q65">
        <v>0.499</v>
      </c>
      <c r="R65">
        <v>0</v>
      </c>
      <c r="S65">
        <v>0.14699999999999999</v>
      </c>
      <c r="T65">
        <v>0.745</v>
      </c>
      <c r="U65">
        <v>76.825999999999993</v>
      </c>
      <c r="V65">
        <v>4</v>
      </c>
    </row>
    <row r="66" spans="1:22" ht="15" customHeight="1" x14ac:dyDescent="0.2">
      <c r="A66" t="s">
        <v>921</v>
      </c>
      <c r="B66" t="s">
        <v>683</v>
      </c>
      <c r="C66" t="s">
        <v>922</v>
      </c>
      <c r="D66" t="s">
        <v>134</v>
      </c>
      <c r="E66" s="84">
        <v>40875</v>
      </c>
      <c r="F66">
        <v>202226</v>
      </c>
      <c r="G66">
        <v>67</v>
      </c>
      <c r="H66">
        <v>125771062</v>
      </c>
      <c r="I66" t="s">
        <v>852</v>
      </c>
      <c r="K66">
        <v>0.67200000000000004</v>
      </c>
      <c r="L66">
        <v>0.748</v>
      </c>
      <c r="M66">
        <v>11</v>
      </c>
      <c r="N66">
        <v>-5.9219999999999997</v>
      </c>
      <c r="O66">
        <v>0</v>
      </c>
      <c r="P66">
        <v>5.8900000000000001E-2</v>
      </c>
      <c r="Q66">
        <v>0.30499999999999999</v>
      </c>
      <c r="R66">
        <v>0</v>
      </c>
      <c r="S66">
        <v>8.1100000000000005E-2</v>
      </c>
      <c r="T66">
        <v>0.96399999999999997</v>
      </c>
      <c r="U66">
        <v>163.98400000000001</v>
      </c>
      <c r="V66">
        <v>4</v>
      </c>
    </row>
    <row r="67" spans="1:22" ht="15" customHeight="1" x14ac:dyDescent="0.2">
      <c r="A67" t="s">
        <v>923</v>
      </c>
      <c r="B67" t="s">
        <v>684</v>
      </c>
      <c r="C67" t="s">
        <v>924</v>
      </c>
      <c r="D67" t="s">
        <v>136</v>
      </c>
      <c r="E67">
        <v>2000</v>
      </c>
      <c r="F67">
        <v>232693</v>
      </c>
      <c r="G67">
        <v>80</v>
      </c>
      <c r="H67">
        <v>125771062</v>
      </c>
      <c r="I67" t="s">
        <v>852</v>
      </c>
      <c r="K67">
        <v>0.63200000000000001</v>
      </c>
      <c r="L67">
        <v>0.85599999999999998</v>
      </c>
      <c r="M67">
        <v>10</v>
      </c>
      <c r="N67">
        <v>-3.4630000000000001</v>
      </c>
      <c r="O67">
        <v>1</v>
      </c>
      <c r="P67">
        <v>3.4799999999999998E-2</v>
      </c>
      <c r="Q67">
        <v>6.2399999999999997E-2</v>
      </c>
      <c r="R67">
        <v>0</v>
      </c>
      <c r="S67">
        <v>0.34699999999999998</v>
      </c>
      <c r="T67">
        <v>0.86699999999999999</v>
      </c>
      <c r="U67">
        <v>119.39700000000001</v>
      </c>
      <c r="V67">
        <v>4</v>
      </c>
    </row>
    <row r="68" spans="1:22" ht="15" customHeight="1" x14ac:dyDescent="0.2">
      <c r="A68" t="s">
        <v>925</v>
      </c>
      <c r="B68" t="s">
        <v>137</v>
      </c>
      <c r="C68" t="s">
        <v>926</v>
      </c>
      <c r="D68" t="s">
        <v>138</v>
      </c>
      <c r="E68">
        <v>1976</v>
      </c>
      <c r="F68">
        <v>230400</v>
      </c>
      <c r="G68">
        <v>87</v>
      </c>
      <c r="H68">
        <v>125771062</v>
      </c>
      <c r="I68" t="s">
        <v>852</v>
      </c>
      <c r="K68">
        <v>0.54300000000000004</v>
      </c>
      <c r="L68">
        <v>0.87</v>
      </c>
      <c r="M68">
        <v>9</v>
      </c>
      <c r="N68">
        <v>-6.5140000000000002</v>
      </c>
      <c r="O68">
        <v>1</v>
      </c>
      <c r="P68">
        <v>4.2799999999999998E-2</v>
      </c>
      <c r="Q68">
        <v>0.35799999999999998</v>
      </c>
      <c r="R68">
        <v>9.3899999999999995E-4</v>
      </c>
      <c r="S68">
        <v>0.79200000000000004</v>
      </c>
      <c r="T68">
        <v>0.754</v>
      </c>
      <c r="U68">
        <v>100.804</v>
      </c>
      <c r="V68">
        <v>4</v>
      </c>
    </row>
    <row r="69" spans="1:22" ht="15" customHeight="1" x14ac:dyDescent="0.2">
      <c r="A69" t="s">
        <v>927</v>
      </c>
      <c r="B69" t="s">
        <v>139</v>
      </c>
      <c r="C69" t="s">
        <v>928</v>
      </c>
      <c r="D69" t="s">
        <v>140</v>
      </c>
      <c r="E69" s="84">
        <v>37873</v>
      </c>
      <c r="F69">
        <v>239320</v>
      </c>
      <c r="G69">
        <v>67</v>
      </c>
      <c r="H69">
        <v>125771062</v>
      </c>
      <c r="I69" t="s">
        <v>852</v>
      </c>
      <c r="J69" t="s">
        <v>1800</v>
      </c>
      <c r="K69">
        <v>0.67400000000000004</v>
      </c>
      <c r="L69">
        <v>0.41299999999999998</v>
      </c>
      <c r="M69">
        <v>2</v>
      </c>
      <c r="N69">
        <v>-7.8159999999999998</v>
      </c>
      <c r="O69">
        <v>1</v>
      </c>
      <c r="P69">
        <v>2.7400000000000001E-2</v>
      </c>
      <c r="Q69">
        <v>0.83599999999999997</v>
      </c>
      <c r="R69">
        <v>1.95E-5</v>
      </c>
      <c r="S69">
        <v>9.8000000000000004E-2</v>
      </c>
      <c r="T69">
        <v>0.503</v>
      </c>
      <c r="U69">
        <v>124.893</v>
      </c>
      <c r="V69">
        <v>3</v>
      </c>
    </row>
    <row r="70" spans="1:22" ht="15" customHeight="1" x14ac:dyDescent="0.2">
      <c r="A70" t="s">
        <v>929</v>
      </c>
      <c r="B70" t="s">
        <v>544</v>
      </c>
      <c r="C70" t="s">
        <v>836</v>
      </c>
      <c r="D70" t="s">
        <v>84</v>
      </c>
      <c r="E70" s="84">
        <v>42016</v>
      </c>
      <c r="F70">
        <v>184214</v>
      </c>
      <c r="G70">
        <v>70</v>
      </c>
      <c r="H70">
        <v>125771062</v>
      </c>
      <c r="I70" t="s">
        <v>930</v>
      </c>
      <c r="K70">
        <v>0.65500000000000003</v>
      </c>
      <c r="L70">
        <v>0.78200000000000003</v>
      </c>
      <c r="M70">
        <v>1</v>
      </c>
      <c r="N70">
        <v>-4.7889999999999997</v>
      </c>
      <c r="O70">
        <v>1</v>
      </c>
      <c r="P70">
        <v>0.185</v>
      </c>
      <c r="Q70">
        <v>0.375</v>
      </c>
      <c r="R70">
        <v>0</v>
      </c>
      <c r="S70">
        <v>0.317</v>
      </c>
      <c r="T70">
        <v>0.83199999999999996</v>
      </c>
      <c r="U70">
        <v>79.427000000000007</v>
      </c>
      <c r="V70">
        <v>4</v>
      </c>
    </row>
    <row r="71" spans="1:22" ht="15" customHeight="1" x14ac:dyDescent="0.2">
      <c r="A71" t="s">
        <v>931</v>
      </c>
      <c r="B71" t="s">
        <v>568</v>
      </c>
      <c r="C71" t="s">
        <v>932</v>
      </c>
      <c r="D71" t="s">
        <v>685</v>
      </c>
      <c r="E71" s="84">
        <v>39217</v>
      </c>
      <c r="F71">
        <v>170866</v>
      </c>
      <c r="G71">
        <v>36</v>
      </c>
      <c r="H71">
        <v>125771062</v>
      </c>
      <c r="I71" t="s">
        <v>930</v>
      </c>
      <c r="J71" t="s">
        <v>1941</v>
      </c>
      <c r="K71">
        <v>0.53100000000000003</v>
      </c>
      <c r="L71">
        <v>0.70199999999999996</v>
      </c>
      <c r="M71">
        <v>8</v>
      </c>
      <c r="N71">
        <v>-5.3090000000000002</v>
      </c>
      <c r="O71">
        <v>1</v>
      </c>
      <c r="P71">
        <v>3.0300000000000001E-2</v>
      </c>
      <c r="Q71">
        <v>0.13200000000000001</v>
      </c>
      <c r="R71">
        <v>0</v>
      </c>
      <c r="S71">
        <v>0.105</v>
      </c>
      <c r="T71">
        <v>0.76700000000000002</v>
      </c>
      <c r="U71">
        <v>118.794</v>
      </c>
      <c r="V71">
        <v>4</v>
      </c>
    </row>
    <row r="72" spans="1:22" ht="15" customHeight="1" x14ac:dyDescent="0.2">
      <c r="A72" t="s">
        <v>933</v>
      </c>
      <c r="B72" t="s">
        <v>144</v>
      </c>
      <c r="C72" t="s">
        <v>904</v>
      </c>
      <c r="D72" t="s">
        <v>138</v>
      </c>
      <c r="E72">
        <v>1979</v>
      </c>
      <c r="F72">
        <v>193440</v>
      </c>
      <c r="G72">
        <v>69</v>
      </c>
      <c r="H72">
        <v>125771062</v>
      </c>
      <c r="I72" t="s">
        <v>930</v>
      </c>
      <c r="K72">
        <v>0.72799999999999998</v>
      </c>
      <c r="L72">
        <v>0.86499999999999999</v>
      </c>
      <c r="M72">
        <v>7</v>
      </c>
      <c r="N72">
        <v>-5.68</v>
      </c>
      <c r="O72">
        <v>1</v>
      </c>
      <c r="P72">
        <v>3.6400000000000002E-2</v>
      </c>
      <c r="Q72">
        <v>0.151</v>
      </c>
      <c r="R72">
        <v>2.4300000000000001E-5</v>
      </c>
      <c r="S72">
        <v>9.06E-2</v>
      </c>
      <c r="T72">
        <v>0.97499999999999998</v>
      </c>
      <c r="U72">
        <v>135.571</v>
      </c>
      <c r="V72">
        <v>4</v>
      </c>
    </row>
    <row r="73" spans="1:22" ht="15" customHeight="1" x14ac:dyDescent="0.2">
      <c r="A73" t="s">
        <v>934</v>
      </c>
      <c r="B73" t="s">
        <v>146</v>
      </c>
      <c r="C73" t="s">
        <v>935</v>
      </c>
      <c r="D73" t="s">
        <v>147</v>
      </c>
      <c r="E73" s="84">
        <v>28126</v>
      </c>
      <c r="F73">
        <v>157653</v>
      </c>
      <c r="G73">
        <v>61</v>
      </c>
      <c r="H73">
        <v>125771062</v>
      </c>
      <c r="I73" t="s">
        <v>930</v>
      </c>
      <c r="J73" t="s">
        <v>1802</v>
      </c>
      <c r="K73">
        <v>0.73599999999999999</v>
      </c>
      <c r="L73">
        <v>0.32100000000000001</v>
      </c>
      <c r="M73">
        <v>6</v>
      </c>
      <c r="N73">
        <v>-13.474</v>
      </c>
      <c r="O73">
        <v>1</v>
      </c>
      <c r="P73">
        <v>4.4400000000000002E-2</v>
      </c>
      <c r="Q73">
        <v>0.79900000000000004</v>
      </c>
      <c r="R73">
        <v>8.9700000000000005E-3</v>
      </c>
      <c r="S73">
        <v>6.1899999999999997E-2</v>
      </c>
      <c r="T73">
        <v>0.34200000000000003</v>
      </c>
      <c r="U73">
        <v>84.927999999999997</v>
      </c>
      <c r="V73">
        <v>4</v>
      </c>
    </row>
    <row r="74" spans="1:22" ht="15" customHeight="1" x14ac:dyDescent="0.2">
      <c r="A74" t="s">
        <v>936</v>
      </c>
      <c r="B74" t="s">
        <v>149</v>
      </c>
      <c r="C74" t="s">
        <v>937</v>
      </c>
      <c r="D74" t="s">
        <v>124</v>
      </c>
      <c r="E74" s="84">
        <v>37313</v>
      </c>
      <c r="F74">
        <v>186251</v>
      </c>
      <c r="G74">
        <v>79</v>
      </c>
      <c r="H74">
        <v>125771062</v>
      </c>
      <c r="I74" t="s">
        <v>930</v>
      </c>
      <c r="J74" t="s">
        <v>1942</v>
      </c>
      <c r="K74">
        <v>0.745</v>
      </c>
      <c r="L74">
        <v>0.219</v>
      </c>
      <c r="M74">
        <v>5</v>
      </c>
      <c r="N74">
        <v>-11.215999999999999</v>
      </c>
      <c r="O74">
        <v>1</v>
      </c>
      <c r="P74">
        <v>2.76E-2</v>
      </c>
      <c r="Q74">
        <v>0.85099999999999998</v>
      </c>
      <c r="R74">
        <v>1.8E-5</v>
      </c>
      <c r="S74">
        <v>6.7799999999999999E-2</v>
      </c>
      <c r="T74">
        <v>0.63500000000000001</v>
      </c>
      <c r="U74">
        <v>88.608999999999995</v>
      </c>
      <c r="V74">
        <v>4</v>
      </c>
    </row>
    <row r="75" spans="1:22" ht="15" customHeight="1" x14ac:dyDescent="0.2">
      <c r="A75" t="s">
        <v>939</v>
      </c>
      <c r="B75" t="s">
        <v>152</v>
      </c>
      <c r="C75" t="s">
        <v>940</v>
      </c>
      <c r="D75" t="s">
        <v>153</v>
      </c>
      <c r="E75" s="84">
        <v>34974</v>
      </c>
      <c r="F75">
        <v>287826</v>
      </c>
      <c r="G75">
        <v>74</v>
      </c>
      <c r="H75">
        <v>125771062</v>
      </c>
      <c r="I75" t="s">
        <v>930</v>
      </c>
      <c r="J75" t="s">
        <v>1803</v>
      </c>
      <c r="K75">
        <v>0.34899999999999998</v>
      </c>
      <c r="L75">
        <v>0.91700000000000004</v>
      </c>
      <c r="M75">
        <v>0</v>
      </c>
      <c r="N75">
        <v>-3.645</v>
      </c>
      <c r="O75">
        <v>1</v>
      </c>
      <c r="P75">
        <v>7.0999999999999994E-2</v>
      </c>
      <c r="Q75">
        <v>2.5999999999999999E-2</v>
      </c>
      <c r="R75">
        <v>7.25E-6</v>
      </c>
      <c r="S75">
        <v>9.6799999999999997E-2</v>
      </c>
      <c r="T75">
        <v>0.20599999999999999</v>
      </c>
      <c r="U75">
        <v>164.036</v>
      </c>
      <c r="V75">
        <v>4</v>
      </c>
    </row>
    <row r="76" spans="1:22" ht="15" customHeight="1" x14ac:dyDescent="0.2">
      <c r="A76" t="s">
        <v>941</v>
      </c>
      <c r="B76" t="s">
        <v>155</v>
      </c>
      <c r="C76" t="s">
        <v>59</v>
      </c>
      <c r="D76" t="s">
        <v>132</v>
      </c>
      <c r="E76" s="84">
        <v>28804</v>
      </c>
      <c r="F76">
        <v>209560</v>
      </c>
      <c r="G76">
        <v>2</v>
      </c>
      <c r="H76">
        <v>125771062</v>
      </c>
      <c r="I76" t="s">
        <v>930</v>
      </c>
      <c r="J76" t="s">
        <v>1799</v>
      </c>
      <c r="K76">
        <v>0.56200000000000006</v>
      </c>
      <c r="L76">
        <v>0.75700000000000001</v>
      </c>
      <c r="M76">
        <v>5</v>
      </c>
      <c r="N76">
        <v>-10.061</v>
      </c>
      <c r="O76">
        <v>1</v>
      </c>
      <c r="P76">
        <v>0.192</v>
      </c>
      <c r="Q76">
        <v>5.6300000000000003E-2</v>
      </c>
      <c r="R76">
        <v>1.2800000000000001E-3</v>
      </c>
      <c r="S76">
        <v>0.55800000000000005</v>
      </c>
      <c r="T76">
        <v>0.64</v>
      </c>
      <c r="U76">
        <v>156.435</v>
      </c>
      <c r="V76">
        <v>4</v>
      </c>
    </row>
    <row r="77" spans="1:22" ht="15" customHeight="1" x14ac:dyDescent="0.2">
      <c r="A77" t="s">
        <v>942</v>
      </c>
      <c r="B77" t="s">
        <v>157</v>
      </c>
      <c r="C77" t="s">
        <v>943</v>
      </c>
      <c r="D77" t="s">
        <v>158</v>
      </c>
      <c r="E77" s="84">
        <v>38353</v>
      </c>
      <c r="F77">
        <v>199106</v>
      </c>
      <c r="G77">
        <v>37</v>
      </c>
      <c r="H77">
        <v>125771062</v>
      </c>
      <c r="I77" t="s">
        <v>930</v>
      </c>
      <c r="J77" t="s">
        <v>1804</v>
      </c>
      <c r="K77">
        <v>0.39200000000000002</v>
      </c>
      <c r="L77">
        <v>0.14000000000000001</v>
      </c>
      <c r="M77">
        <v>1</v>
      </c>
      <c r="N77">
        <v>-14.872999999999999</v>
      </c>
      <c r="O77">
        <v>1</v>
      </c>
      <c r="P77">
        <v>3.0499999999999999E-2</v>
      </c>
      <c r="Q77">
        <v>0.90500000000000003</v>
      </c>
      <c r="R77">
        <v>6.9499999999999995E-5</v>
      </c>
      <c r="S77">
        <v>0.11899999999999999</v>
      </c>
      <c r="T77">
        <v>0.27400000000000002</v>
      </c>
      <c r="U77">
        <v>145.595</v>
      </c>
      <c r="V77">
        <v>4</v>
      </c>
    </row>
    <row r="78" spans="1:22" ht="15" customHeight="1" x14ac:dyDescent="0.2">
      <c r="A78" t="s">
        <v>944</v>
      </c>
      <c r="B78" t="s">
        <v>686</v>
      </c>
      <c r="C78" t="s">
        <v>945</v>
      </c>
      <c r="D78" t="s">
        <v>160</v>
      </c>
      <c r="E78" s="84">
        <v>33239</v>
      </c>
      <c r="F78">
        <v>217573</v>
      </c>
      <c r="G78">
        <v>58</v>
      </c>
      <c r="H78">
        <v>125771062</v>
      </c>
      <c r="I78" t="s">
        <v>946</v>
      </c>
      <c r="J78" t="s">
        <v>1805</v>
      </c>
      <c r="K78">
        <v>0.65100000000000002</v>
      </c>
      <c r="L78">
        <v>0.221</v>
      </c>
      <c r="M78">
        <v>0</v>
      </c>
      <c r="N78">
        <v>-15.223000000000001</v>
      </c>
      <c r="O78">
        <v>1</v>
      </c>
      <c r="P78">
        <v>2.7300000000000001E-2</v>
      </c>
      <c r="Q78">
        <v>0.84699999999999998</v>
      </c>
      <c r="R78">
        <v>1.11E-6</v>
      </c>
      <c r="S78">
        <v>8.9499999999999996E-2</v>
      </c>
      <c r="T78">
        <v>0.31900000000000001</v>
      </c>
      <c r="U78">
        <v>88.17</v>
      </c>
      <c r="V78">
        <v>4</v>
      </c>
    </row>
    <row r="79" spans="1:22" ht="15" customHeight="1" x14ac:dyDescent="0.2">
      <c r="A79" t="s">
        <v>1878</v>
      </c>
      <c r="B79" t="s">
        <v>1879</v>
      </c>
      <c r="C79" t="s">
        <v>1115</v>
      </c>
      <c r="D79" t="s">
        <v>551</v>
      </c>
      <c r="E79" s="84">
        <v>28160</v>
      </c>
      <c r="F79">
        <v>257800</v>
      </c>
      <c r="G79">
        <v>92</v>
      </c>
      <c r="H79">
        <v>125771062</v>
      </c>
      <c r="I79" t="s">
        <v>1880</v>
      </c>
      <c r="J79" t="s">
        <v>1944</v>
      </c>
      <c r="K79">
        <v>0.82799999999999996</v>
      </c>
      <c r="L79">
        <v>0.49199999999999999</v>
      </c>
      <c r="M79">
        <v>0</v>
      </c>
      <c r="N79">
        <v>-9.7439999999999998</v>
      </c>
      <c r="O79">
        <v>1</v>
      </c>
      <c r="P79">
        <v>2.76E-2</v>
      </c>
      <c r="Q79">
        <v>6.4399999999999999E-2</v>
      </c>
      <c r="R79">
        <v>4.28E-3</v>
      </c>
      <c r="S79">
        <v>0.128</v>
      </c>
      <c r="T79">
        <v>0.78900000000000003</v>
      </c>
      <c r="U79">
        <v>120.151</v>
      </c>
      <c r="V79">
        <v>4</v>
      </c>
    </row>
    <row r="80" spans="1:22" ht="15" customHeight="1" x14ac:dyDescent="0.2">
      <c r="A80" t="s">
        <v>947</v>
      </c>
      <c r="B80" t="s">
        <v>161</v>
      </c>
      <c r="C80" t="s">
        <v>948</v>
      </c>
      <c r="D80" t="s">
        <v>162</v>
      </c>
      <c r="E80" s="84">
        <v>36459</v>
      </c>
      <c r="F80">
        <v>232453</v>
      </c>
      <c r="G80">
        <v>82</v>
      </c>
      <c r="H80">
        <v>125771062</v>
      </c>
      <c r="I80" t="s">
        <v>930</v>
      </c>
      <c r="J80" t="s">
        <v>1806</v>
      </c>
      <c r="K80">
        <v>0.64500000000000002</v>
      </c>
      <c r="L80">
        <v>0.79200000000000004</v>
      </c>
      <c r="M80">
        <v>4</v>
      </c>
      <c r="N80">
        <v>-7.34</v>
      </c>
      <c r="O80">
        <v>0</v>
      </c>
      <c r="P80">
        <v>3.5999999999999997E-2</v>
      </c>
      <c r="Q80">
        <v>5.62E-2</v>
      </c>
      <c r="R80">
        <v>1.21E-2</v>
      </c>
      <c r="S80">
        <v>0.11899999999999999</v>
      </c>
      <c r="T80">
        <v>0.66600000000000004</v>
      </c>
      <c r="U80">
        <v>90.564999999999998</v>
      </c>
      <c r="V80">
        <v>4</v>
      </c>
    </row>
    <row r="81" spans="1:22" ht="15" customHeight="1" x14ac:dyDescent="0.2">
      <c r="A81" t="s">
        <v>949</v>
      </c>
      <c r="B81" t="s">
        <v>163</v>
      </c>
      <c r="C81" t="s">
        <v>950</v>
      </c>
      <c r="D81" t="s">
        <v>164</v>
      </c>
      <c r="E81">
        <v>1977</v>
      </c>
      <c r="F81">
        <v>206266</v>
      </c>
      <c r="G81">
        <v>81</v>
      </c>
      <c r="H81">
        <v>125771062</v>
      </c>
      <c r="I81" t="s">
        <v>930</v>
      </c>
      <c r="J81" t="s">
        <v>1807</v>
      </c>
      <c r="K81">
        <v>0.47499999999999998</v>
      </c>
      <c r="L81">
        <v>0.32200000000000001</v>
      </c>
      <c r="M81">
        <v>7</v>
      </c>
      <c r="N81">
        <v>-10.686999999999999</v>
      </c>
      <c r="O81">
        <v>1</v>
      </c>
      <c r="P81">
        <v>2.8299999999999999E-2</v>
      </c>
      <c r="Q81">
        <v>0.36699999999999999</v>
      </c>
      <c r="R81">
        <v>5.5999999999999995E-4</v>
      </c>
      <c r="S81">
        <v>0.11</v>
      </c>
      <c r="T81">
        <v>0.38700000000000001</v>
      </c>
      <c r="U81">
        <v>93.503</v>
      </c>
      <c r="V81">
        <v>4</v>
      </c>
    </row>
    <row r="82" spans="1:22" ht="15" customHeight="1" x14ac:dyDescent="0.2">
      <c r="A82" t="s">
        <v>951</v>
      </c>
      <c r="B82" t="s">
        <v>166</v>
      </c>
      <c r="C82" t="s">
        <v>952</v>
      </c>
      <c r="D82" t="s">
        <v>167</v>
      </c>
      <c r="E82" s="84">
        <v>38353</v>
      </c>
      <c r="F82">
        <v>196453</v>
      </c>
      <c r="G82">
        <v>0</v>
      </c>
      <c r="H82">
        <v>125771062</v>
      </c>
      <c r="I82" t="s">
        <v>930</v>
      </c>
      <c r="K82">
        <v>0.23300000000000001</v>
      </c>
      <c r="L82">
        <v>0.64500000000000002</v>
      </c>
      <c r="M82">
        <v>8</v>
      </c>
      <c r="N82">
        <v>-5.4560000000000004</v>
      </c>
      <c r="O82">
        <v>1</v>
      </c>
      <c r="P82">
        <v>3.3399999999999999E-2</v>
      </c>
      <c r="Q82">
        <v>0.23699999999999999</v>
      </c>
      <c r="R82">
        <v>2.3900000000000002E-5</v>
      </c>
      <c r="S82">
        <v>0.378</v>
      </c>
      <c r="T82">
        <v>0.31</v>
      </c>
      <c r="U82">
        <v>187.28100000000001</v>
      </c>
      <c r="V82">
        <v>3</v>
      </c>
    </row>
    <row r="83" spans="1:22" ht="15" customHeight="1" x14ac:dyDescent="0.2">
      <c r="A83" t="s">
        <v>953</v>
      </c>
      <c r="B83" t="s">
        <v>779</v>
      </c>
      <c r="C83" t="s">
        <v>954</v>
      </c>
      <c r="D83" t="s">
        <v>673</v>
      </c>
      <c r="E83" s="84">
        <v>36843</v>
      </c>
      <c r="F83">
        <v>163320</v>
      </c>
      <c r="G83">
        <v>52</v>
      </c>
      <c r="H83">
        <v>125771062</v>
      </c>
      <c r="I83" t="s">
        <v>955</v>
      </c>
      <c r="J83" t="s">
        <v>1781</v>
      </c>
      <c r="K83">
        <v>0.63600000000000001</v>
      </c>
      <c r="L83">
        <v>0.67700000000000005</v>
      </c>
      <c r="M83">
        <v>9</v>
      </c>
      <c r="N83">
        <v>-5.6050000000000004</v>
      </c>
      <c r="O83">
        <v>1</v>
      </c>
      <c r="P83">
        <v>3.1600000000000003E-2</v>
      </c>
      <c r="Q83">
        <v>0.26500000000000001</v>
      </c>
      <c r="R83">
        <v>0</v>
      </c>
      <c r="S83">
        <v>0.215</v>
      </c>
      <c r="T83">
        <v>0.83699999999999997</v>
      </c>
      <c r="U83">
        <v>138.70699999999999</v>
      </c>
      <c r="V83">
        <v>4</v>
      </c>
    </row>
    <row r="84" spans="1:22" ht="15" customHeight="1" x14ac:dyDescent="0.2">
      <c r="A84" t="s">
        <v>956</v>
      </c>
      <c r="B84" t="s">
        <v>687</v>
      </c>
      <c r="C84" t="s">
        <v>957</v>
      </c>
      <c r="D84" t="s">
        <v>172</v>
      </c>
      <c r="E84" s="84">
        <v>28856</v>
      </c>
      <c r="F84">
        <v>276493</v>
      </c>
      <c r="G84">
        <v>78</v>
      </c>
      <c r="H84">
        <v>125771062</v>
      </c>
      <c r="I84" t="s">
        <v>930</v>
      </c>
      <c r="J84" t="s">
        <v>1328</v>
      </c>
      <c r="K84">
        <v>0.83499999999999996</v>
      </c>
      <c r="L84">
        <v>0.50900000000000001</v>
      </c>
      <c r="M84">
        <v>0</v>
      </c>
      <c r="N84">
        <v>-13.667999999999999</v>
      </c>
      <c r="O84">
        <v>1</v>
      </c>
      <c r="P84">
        <v>5.4800000000000001E-2</v>
      </c>
      <c r="Q84">
        <v>0.46899999999999997</v>
      </c>
      <c r="R84">
        <v>4.1099999999999996E-6</v>
      </c>
      <c r="S84">
        <v>4.36E-2</v>
      </c>
      <c r="T84">
        <v>0.94899999999999995</v>
      </c>
      <c r="U84">
        <v>138.71100000000001</v>
      </c>
      <c r="V84">
        <v>4</v>
      </c>
    </row>
    <row r="85" spans="1:22" ht="15" customHeight="1" x14ac:dyDescent="0.2">
      <c r="A85" t="s">
        <v>1679</v>
      </c>
      <c r="B85" t="s">
        <v>1680</v>
      </c>
      <c r="C85" t="s">
        <v>1681</v>
      </c>
      <c r="D85" t="s">
        <v>174</v>
      </c>
      <c r="E85" s="84">
        <v>44765</v>
      </c>
      <c r="F85">
        <v>251760</v>
      </c>
      <c r="G85">
        <v>0</v>
      </c>
      <c r="H85">
        <v>125771062</v>
      </c>
      <c r="I85" t="s">
        <v>1682</v>
      </c>
      <c r="K85">
        <v>0.82299999999999995</v>
      </c>
      <c r="L85">
        <v>0.45700000000000002</v>
      </c>
      <c r="M85">
        <v>1</v>
      </c>
      <c r="N85">
        <v>-9.7219999999999995</v>
      </c>
      <c r="O85">
        <v>1</v>
      </c>
      <c r="P85">
        <v>3.5000000000000003E-2</v>
      </c>
      <c r="Q85">
        <v>0.53700000000000003</v>
      </c>
      <c r="R85">
        <v>4.8799999999999998E-3</v>
      </c>
      <c r="S85">
        <v>6.9800000000000001E-2</v>
      </c>
      <c r="T85">
        <v>0.70899999999999996</v>
      </c>
      <c r="U85">
        <v>117.392</v>
      </c>
      <c r="V85">
        <v>4</v>
      </c>
    </row>
    <row r="86" spans="1:22" ht="15" customHeight="1" x14ac:dyDescent="0.2">
      <c r="A86" t="s">
        <v>958</v>
      </c>
      <c r="B86" t="s">
        <v>688</v>
      </c>
      <c r="C86" t="s">
        <v>959</v>
      </c>
      <c r="D86" t="s">
        <v>16</v>
      </c>
      <c r="E86" s="84">
        <v>41919</v>
      </c>
      <c r="F86">
        <v>174532</v>
      </c>
      <c r="G86">
        <v>37</v>
      </c>
      <c r="H86">
        <v>125771062</v>
      </c>
      <c r="I86" t="s">
        <v>930</v>
      </c>
      <c r="K86">
        <v>0.71</v>
      </c>
      <c r="L86">
        <v>0.56100000000000005</v>
      </c>
      <c r="M86">
        <v>0</v>
      </c>
      <c r="N86">
        <v>-4.9740000000000002</v>
      </c>
      <c r="O86">
        <v>1</v>
      </c>
      <c r="P86">
        <v>5.0700000000000002E-2</v>
      </c>
      <c r="Q86">
        <v>0.43</v>
      </c>
      <c r="R86">
        <v>0</v>
      </c>
      <c r="S86">
        <v>0.69199999999999995</v>
      </c>
      <c r="T86">
        <v>0.82699999999999996</v>
      </c>
      <c r="U86">
        <v>78.275000000000006</v>
      </c>
      <c r="V86">
        <v>4</v>
      </c>
    </row>
    <row r="87" spans="1:22" ht="15" customHeight="1" x14ac:dyDescent="0.2">
      <c r="A87" t="s">
        <v>960</v>
      </c>
      <c r="B87" t="s">
        <v>175</v>
      </c>
      <c r="C87" t="s">
        <v>961</v>
      </c>
      <c r="D87" t="s">
        <v>689</v>
      </c>
      <c r="E87" s="84">
        <v>39199</v>
      </c>
      <c r="F87">
        <v>212373</v>
      </c>
      <c r="G87">
        <v>72</v>
      </c>
      <c r="H87">
        <v>125771062</v>
      </c>
      <c r="I87" t="s">
        <v>930</v>
      </c>
      <c r="J87" t="s">
        <v>1808</v>
      </c>
      <c r="K87">
        <v>0.68600000000000005</v>
      </c>
      <c r="L87">
        <v>0.68799999999999994</v>
      </c>
      <c r="M87">
        <v>6</v>
      </c>
      <c r="N87">
        <v>-4.9809999999999999</v>
      </c>
      <c r="O87">
        <v>0</v>
      </c>
      <c r="P87">
        <v>2.5399999999999999E-2</v>
      </c>
      <c r="Q87">
        <v>0.39</v>
      </c>
      <c r="R87">
        <v>1.0300000000000001E-6</v>
      </c>
      <c r="S87">
        <v>9.2399999999999996E-2</v>
      </c>
      <c r="T87">
        <v>0.49299999999999999</v>
      </c>
      <c r="U87">
        <v>123.125</v>
      </c>
      <c r="V87">
        <v>4</v>
      </c>
    </row>
    <row r="88" spans="1:22" ht="15" customHeight="1" x14ac:dyDescent="0.2">
      <c r="A88" t="s">
        <v>962</v>
      </c>
      <c r="B88" t="s">
        <v>177</v>
      </c>
      <c r="C88" t="s">
        <v>963</v>
      </c>
      <c r="D88" t="s">
        <v>178</v>
      </c>
      <c r="E88">
        <v>1972</v>
      </c>
      <c r="F88">
        <v>187000</v>
      </c>
      <c r="G88">
        <v>76</v>
      </c>
      <c r="H88">
        <v>125771062</v>
      </c>
      <c r="I88" t="s">
        <v>930</v>
      </c>
      <c r="J88" t="s">
        <v>1809</v>
      </c>
      <c r="K88">
        <v>0.36499999999999999</v>
      </c>
      <c r="L88">
        <v>0.33800000000000002</v>
      </c>
      <c r="M88">
        <v>2</v>
      </c>
      <c r="N88">
        <v>-13.406000000000001</v>
      </c>
      <c r="O88">
        <v>1</v>
      </c>
      <c r="P88">
        <v>3.2199999999999999E-2</v>
      </c>
      <c r="Q88">
        <v>0.73499999999999999</v>
      </c>
      <c r="R88">
        <v>0</v>
      </c>
      <c r="S88">
        <v>0.104</v>
      </c>
      <c r="T88">
        <v>0.44600000000000001</v>
      </c>
      <c r="U88">
        <v>79.241</v>
      </c>
      <c r="V88">
        <v>4</v>
      </c>
    </row>
    <row r="89" spans="1:22" ht="15" customHeight="1" x14ac:dyDescent="0.2">
      <c r="A89" t="s">
        <v>1683</v>
      </c>
      <c r="B89" t="s">
        <v>1684</v>
      </c>
      <c r="C89" t="s">
        <v>938</v>
      </c>
      <c r="D89" t="s">
        <v>551</v>
      </c>
      <c r="E89" s="84">
        <v>32468</v>
      </c>
      <c r="F89">
        <v>222733</v>
      </c>
      <c r="G89">
        <v>71</v>
      </c>
      <c r="H89">
        <v>125771062</v>
      </c>
      <c r="I89" t="s">
        <v>1685</v>
      </c>
      <c r="J89" t="s">
        <v>1944</v>
      </c>
      <c r="K89">
        <v>0.69</v>
      </c>
      <c r="L89">
        <v>0.54</v>
      </c>
      <c r="M89">
        <v>4</v>
      </c>
      <c r="N89">
        <v>-10.516</v>
      </c>
      <c r="O89">
        <v>1</v>
      </c>
      <c r="P89">
        <v>3.1699999999999999E-2</v>
      </c>
      <c r="Q89">
        <v>0.218</v>
      </c>
      <c r="R89">
        <v>6.5700000000000003E-3</v>
      </c>
      <c r="S89">
        <v>0.115</v>
      </c>
      <c r="T89">
        <v>0.76400000000000001</v>
      </c>
      <c r="U89">
        <v>114.846</v>
      </c>
      <c r="V89">
        <v>4</v>
      </c>
    </row>
    <row r="90" spans="1:22" ht="15" customHeight="1" x14ac:dyDescent="0.2">
      <c r="A90" t="s">
        <v>964</v>
      </c>
      <c r="B90" t="s">
        <v>690</v>
      </c>
      <c r="C90" t="s">
        <v>965</v>
      </c>
      <c r="D90" t="s">
        <v>626</v>
      </c>
      <c r="E90">
        <v>1985</v>
      </c>
      <c r="F90">
        <v>245640</v>
      </c>
      <c r="G90">
        <v>79</v>
      </c>
      <c r="H90">
        <v>125771062</v>
      </c>
      <c r="I90" t="s">
        <v>930</v>
      </c>
      <c r="K90">
        <v>0.81699999999999995</v>
      </c>
      <c r="L90">
        <v>0.59899999999999998</v>
      </c>
      <c r="M90">
        <v>0</v>
      </c>
      <c r="N90">
        <v>-9.2490000000000006</v>
      </c>
      <c r="O90">
        <v>0</v>
      </c>
      <c r="P90">
        <v>3.2800000000000003E-2</v>
      </c>
      <c r="Q90">
        <v>0.13200000000000001</v>
      </c>
      <c r="R90">
        <v>3.1100000000000002E-4</v>
      </c>
      <c r="S90">
        <v>8.7300000000000003E-2</v>
      </c>
      <c r="T90">
        <v>0.54800000000000004</v>
      </c>
      <c r="U90">
        <v>108.873</v>
      </c>
      <c r="V90">
        <v>4</v>
      </c>
    </row>
    <row r="91" spans="1:22" ht="15" customHeight="1" x14ac:dyDescent="0.2">
      <c r="A91" t="s">
        <v>966</v>
      </c>
      <c r="B91" t="s">
        <v>179</v>
      </c>
      <c r="C91" t="s">
        <v>896</v>
      </c>
      <c r="D91" t="s">
        <v>113</v>
      </c>
      <c r="E91" s="84">
        <v>36108</v>
      </c>
      <c r="F91">
        <v>194493</v>
      </c>
      <c r="G91">
        <v>1</v>
      </c>
      <c r="H91">
        <v>125771062</v>
      </c>
      <c r="I91" t="s">
        <v>930</v>
      </c>
      <c r="K91">
        <v>0.91500000000000004</v>
      </c>
      <c r="L91">
        <v>0.497</v>
      </c>
      <c r="M91">
        <v>11</v>
      </c>
      <c r="N91">
        <v>-10.435</v>
      </c>
      <c r="O91">
        <v>1</v>
      </c>
      <c r="P91">
        <v>0.10199999999999999</v>
      </c>
      <c r="Q91">
        <v>5.47E-3</v>
      </c>
      <c r="R91">
        <v>1.08E-4</v>
      </c>
      <c r="S91">
        <v>6.7000000000000004E-2</v>
      </c>
      <c r="T91">
        <v>0.55300000000000005</v>
      </c>
      <c r="U91">
        <v>95.852000000000004</v>
      </c>
      <c r="V91">
        <v>4</v>
      </c>
    </row>
    <row r="92" spans="1:22" ht="15" customHeight="1" x14ac:dyDescent="0.2">
      <c r="A92" t="s">
        <v>967</v>
      </c>
      <c r="B92" t="s">
        <v>180</v>
      </c>
      <c r="C92" t="s">
        <v>968</v>
      </c>
      <c r="D92" t="s">
        <v>1881</v>
      </c>
      <c r="E92" s="84">
        <v>41684</v>
      </c>
      <c r="F92">
        <v>180400</v>
      </c>
      <c r="G92">
        <v>51</v>
      </c>
      <c r="H92">
        <v>125771062</v>
      </c>
      <c r="I92" t="s">
        <v>969</v>
      </c>
      <c r="J92" t="s">
        <v>1786</v>
      </c>
      <c r="K92">
        <v>0.495</v>
      </c>
      <c r="L92">
        <v>0.434</v>
      </c>
      <c r="M92">
        <v>2</v>
      </c>
      <c r="N92">
        <v>-8.0790000000000006</v>
      </c>
      <c r="O92">
        <v>1</v>
      </c>
      <c r="P92">
        <v>3.1300000000000001E-2</v>
      </c>
      <c r="Q92">
        <v>0.89700000000000002</v>
      </c>
      <c r="R92">
        <v>3.9300000000000001E-4</v>
      </c>
      <c r="S92">
        <v>0.109</v>
      </c>
      <c r="T92">
        <v>0.23</v>
      </c>
      <c r="U92">
        <v>82.16</v>
      </c>
      <c r="V92">
        <v>4</v>
      </c>
    </row>
    <row r="93" spans="1:22" ht="15" customHeight="1" x14ac:dyDescent="0.2">
      <c r="A93" t="s">
        <v>970</v>
      </c>
      <c r="B93" t="s">
        <v>538</v>
      </c>
      <c r="C93" t="s">
        <v>971</v>
      </c>
      <c r="D93" t="s">
        <v>539</v>
      </c>
      <c r="E93" s="84">
        <v>39908</v>
      </c>
      <c r="F93">
        <v>254746</v>
      </c>
      <c r="G93">
        <v>44</v>
      </c>
      <c r="H93">
        <v>125771062</v>
      </c>
      <c r="I93" t="s">
        <v>930</v>
      </c>
      <c r="K93">
        <v>0.45600000000000002</v>
      </c>
      <c r="L93">
        <v>0.255</v>
      </c>
      <c r="M93">
        <v>3</v>
      </c>
      <c r="N93">
        <v>-9.1519999999999992</v>
      </c>
      <c r="O93">
        <v>1</v>
      </c>
      <c r="P93">
        <v>3.09E-2</v>
      </c>
      <c r="Q93">
        <v>0.86899999999999999</v>
      </c>
      <c r="R93">
        <v>0</v>
      </c>
      <c r="S93">
        <v>0.109</v>
      </c>
      <c r="T93">
        <v>0.502</v>
      </c>
      <c r="U93">
        <v>108.303</v>
      </c>
      <c r="V93">
        <v>4</v>
      </c>
    </row>
    <row r="94" spans="1:22" ht="15" customHeight="1" x14ac:dyDescent="0.2">
      <c r="A94" t="s">
        <v>972</v>
      </c>
      <c r="B94" t="s">
        <v>691</v>
      </c>
      <c r="C94" t="s">
        <v>973</v>
      </c>
      <c r="D94" t="s">
        <v>628</v>
      </c>
      <c r="E94" s="84">
        <v>27692</v>
      </c>
      <c r="F94">
        <v>217573</v>
      </c>
      <c r="G94">
        <v>74</v>
      </c>
      <c r="H94">
        <v>125771062</v>
      </c>
      <c r="I94" t="s">
        <v>974</v>
      </c>
      <c r="J94" t="s">
        <v>1800</v>
      </c>
      <c r="K94">
        <v>0.81499999999999995</v>
      </c>
      <c r="L94">
        <v>0.372</v>
      </c>
      <c r="M94">
        <v>7</v>
      </c>
      <c r="N94">
        <v>-12.814</v>
      </c>
      <c r="O94">
        <v>1</v>
      </c>
      <c r="P94">
        <v>7.5200000000000003E-2</v>
      </c>
      <c r="Q94">
        <v>0.16600000000000001</v>
      </c>
      <c r="R94">
        <v>1.16E-4</v>
      </c>
      <c r="S94">
        <v>7.6700000000000004E-2</v>
      </c>
      <c r="T94">
        <v>0.29299999999999998</v>
      </c>
      <c r="U94">
        <v>101.684</v>
      </c>
      <c r="V94">
        <v>4</v>
      </c>
    </row>
    <row r="95" spans="1:22" ht="15" customHeight="1" x14ac:dyDescent="0.2">
      <c r="A95" t="s">
        <v>975</v>
      </c>
      <c r="B95" t="s">
        <v>692</v>
      </c>
      <c r="C95" t="s">
        <v>1882</v>
      </c>
      <c r="D95" t="s">
        <v>187</v>
      </c>
      <c r="E95" s="84">
        <v>38377</v>
      </c>
      <c r="F95">
        <v>188877</v>
      </c>
      <c r="G95">
        <v>66</v>
      </c>
      <c r="H95">
        <v>125771062</v>
      </c>
      <c r="I95" t="s">
        <v>930</v>
      </c>
      <c r="J95" t="s">
        <v>1811</v>
      </c>
      <c r="K95">
        <v>0.59599999999999997</v>
      </c>
      <c r="L95">
        <v>0.253</v>
      </c>
      <c r="M95">
        <v>1</v>
      </c>
      <c r="N95">
        <v>-14.369</v>
      </c>
      <c r="O95">
        <v>0</v>
      </c>
      <c r="P95">
        <v>3.49E-2</v>
      </c>
      <c r="Q95">
        <v>0.89600000000000002</v>
      </c>
      <c r="R95">
        <v>5.1700000000000003E-5</v>
      </c>
      <c r="S95">
        <v>0.10199999999999999</v>
      </c>
      <c r="T95">
        <v>0.36799999999999999</v>
      </c>
      <c r="U95">
        <v>95.162000000000006</v>
      </c>
      <c r="V95">
        <v>4</v>
      </c>
    </row>
    <row r="96" spans="1:22" ht="15" customHeight="1" x14ac:dyDescent="0.2">
      <c r="A96" t="s">
        <v>976</v>
      </c>
      <c r="B96" t="s">
        <v>693</v>
      </c>
      <c r="C96" t="s">
        <v>1873</v>
      </c>
      <c r="D96" t="s">
        <v>1873</v>
      </c>
      <c r="E96" s="84">
        <v>22767</v>
      </c>
      <c r="F96">
        <v>162933</v>
      </c>
      <c r="G96">
        <v>81</v>
      </c>
      <c r="H96">
        <v>125771062</v>
      </c>
      <c r="I96" t="s">
        <v>930</v>
      </c>
      <c r="J96" t="s">
        <v>1793</v>
      </c>
      <c r="K96">
        <v>0.436</v>
      </c>
      <c r="L96">
        <v>6.9500000000000006E-2</v>
      </c>
      <c r="M96">
        <v>7</v>
      </c>
      <c r="N96">
        <v>-19.734999999999999</v>
      </c>
      <c r="O96">
        <v>1</v>
      </c>
      <c r="P96">
        <v>2.98E-2</v>
      </c>
      <c r="Q96">
        <v>0.85799999999999998</v>
      </c>
      <c r="R96">
        <v>0</v>
      </c>
      <c r="S96">
        <v>0.107</v>
      </c>
      <c r="T96">
        <v>0.255</v>
      </c>
      <c r="U96">
        <v>97.128</v>
      </c>
      <c r="V96">
        <v>4</v>
      </c>
    </row>
    <row r="97" spans="1:22" ht="15" customHeight="1" x14ac:dyDescent="0.2">
      <c r="A97" t="s">
        <v>977</v>
      </c>
      <c r="B97" t="s">
        <v>190</v>
      </c>
      <c r="C97" t="s">
        <v>978</v>
      </c>
      <c r="D97" t="s">
        <v>28</v>
      </c>
      <c r="E97" s="84">
        <v>38510</v>
      </c>
      <c r="F97">
        <v>295533</v>
      </c>
      <c r="G97">
        <v>86</v>
      </c>
      <c r="H97">
        <v>125771062</v>
      </c>
      <c r="I97" t="s">
        <v>930</v>
      </c>
      <c r="K97">
        <v>0.20899999999999999</v>
      </c>
      <c r="L97">
        <v>0.41699999999999998</v>
      </c>
      <c r="M97">
        <v>3</v>
      </c>
      <c r="N97">
        <v>-8.74</v>
      </c>
      <c r="O97">
        <v>1</v>
      </c>
      <c r="P97">
        <v>3.3799999999999997E-2</v>
      </c>
      <c r="Q97">
        <v>0.16400000000000001</v>
      </c>
      <c r="R97">
        <v>1.9599999999999999E-3</v>
      </c>
      <c r="S97">
        <v>0.113</v>
      </c>
      <c r="T97">
        <v>0.124</v>
      </c>
      <c r="U97">
        <v>138.178</v>
      </c>
      <c r="V97">
        <v>4</v>
      </c>
    </row>
    <row r="98" spans="1:22" ht="15" customHeight="1" x14ac:dyDescent="0.2">
      <c r="A98" t="s">
        <v>1337</v>
      </c>
      <c r="B98" t="s">
        <v>1335</v>
      </c>
      <c r="C98" t="s">
        <v>1335</v>
      </c>
      <c r="D98" t="s">
        <v>1336</v>
      </c>
      <c r="E98" s="84">
        <v>44939</v>
      </c>
      <c r="F98">
        <v>200454</v>
      </c>
      <c r="G98">
        <v>14</v>
      </c>
      <c r="H98">
        <v>125771062</v>
      </c>
      <c r="I98" t="s">
        <v>1338</v>
      </c>
      <c r="K98">
        <v>0.70699999999999996</v>
      </c>
      <c r="L98">
        <v>0.68100000000000005</v>
      </c>
      <c r="M98">
        <v>0</v>
      </c>
      <c r="N98">
        <v>-4.3250000000000002</v>
      </c>
      <c r="O98">
        <v>1</v>
      </c>
      <c r="P98">
        <v>6.6799999999999998E-2</v>
      </c>
      <c r="Q98">
        <v>6.3200000000000006E-2</v>
      </c>
      <c r="R98">
        <v>5.1499999999999998E-6</v>
      </c>
      <c r="S98">
        <v>3.2199999999999999E-2</v>
      </c>
      <c r="T98">
        <v>0.64600000000000002</v>
      </c>
      <c r="U98">
        <v>117.999</v>
      </c>
      <c r="V98">
        <v>4</v>
      </c>
    </row>
    <row r="99" spans="1:22" ht="15" customHeight="1" x14ac:dyDescent="0.2">
      <c r="A99" t="s">
        <v>979</v>
      </c>
      <c r="B99" t="s">
        <v>193</v>
      </c>
      <c r="C99" t="s">
        <v>980</v>
      </c>
      <c r="D99" t="s">
        <v>194</v>
      </c>
      <c r="E99" t="s">
        <v>694</v>
      </c>
      <c r="F99">
        <v>148866</v>
      </c>
      <c r="G99">
        <v>58</v>
      </c>
      <c r="H99">
        <v>125771062</v>
      </c>
      <c r="I99" t="s">
        <v>930</v>
      </c>
      <c r="J99" t="s">
        <v>1883</v>
      </c>
      <c r="K99">
        <v>0.623</v>
      </c>
      <c r="L99">
        <v>0.27400000000000002</v>
      </c>
      <c r="M99">
        <v>5</v>
      </c>
      <c r="N99">
        <v>-14.929</v>
      </c>
      <c r="O99">
        <v>1</v>
      </c>
      <c r="P99">
        <v>7.0000000000000007E-2</v>
      </c>
      <c r="Q99">
        <v>0.34300000000000003</v>
      </c>
      <c r="R99">
        <v>3.1599999999999998E-6</v>
      </c>
      <c r="S99">
        <v>4.0399999999999998E-2</v>
      </c>
      <c r="T99">
        <v>0.42699999999999999</v>
      </c>
      <c r="U99">
        <v>118.05200000000001</v>
      </c>
      <c r="V99">
        <v>4</v>
      </c>
    </row>
    <row r="100" spans="1:22" ht="15" customHeight="1" x14ac:dyDescent="0.2">
      <c r="A100" t="s">
        <v>1686</v>
      </c>
      <c r="B100" t="s">
        <v>1687</v>
      </c>
      <c r="C100" t="s">
        <v>1688</v>
      </c>
      <c r="D100" t="s">
        <v>1689</v>
      </c>
      <c r="E100" s="84">
        <v>36690</v>
      </c>
      <c r="F100">
        <v>218439</v>
      </c>
      <c r="G100">
        <v>75</v>
      </c>
      <c r="H100">
        <v>125771062</v>
      </c>
      <c r="I100" t="s">
        <v>1690</v>
      </c>
      <c r="K100">
        <v>0.81699999999999995</v>
      </c>
      <c r="L100">
        <v>0.58499999999999996</v>
      </c>
      <c r="M100">
        <v>5</v>
      </c>
      <c r="N100">
        <v>-4.6879999999999997</v>
      </c>
      <c r="O100">
        <v>1</v>
      </c>
      <c r="P100">
        <v>3.0099999999999998E-2</v>
      </c>
      <c r="Q100">
        <v>0.439</v>
      </c>
      <c r="R100">
        <v>0</v>
      </c>
      <c r="S100">
        <v>0.14699999999999999</v>
      </c>
      <c r="T100">
        <v>0.91600000000000004</v>
      </c>
      <c r="U100">
        <v>105.014</v>
      </c>
      <c r="V100">
        <v>4</v>
      </c>
    </row>
    <row r="101" spans="1:22" ht="15" customHeight="1" x14ac:dyDescent="0.2">
      <c r="A101" t="s">
        <v>981</v>
      </c>
      <c r="B101" t="s">
        <v>633</v>
      </c>
      <c r="C101" t="s">
        <v>634</v>
      </c>
      <c r="D101" t="s">
        <v>634</v>
      </c>
      <c r="E101" s="84">
        <v>24446</v>
      </c>
      <c r="F101">
        <v>153693</v>
      </c>
      <c r="G101">
        <v>81</v>
      </c>
      <c r="H101">
        <v>125771062</v>
      </c>
      <c r="I101" t="s">
        <v>930</v>
      </c>
      <c r="J101" t="s">
        <v>1812</v>
      </c>
      <c r="K101">
        <v>0.65300000000000002</v>
      </c>
      <c r="L101">
        <v>0.51900000000000002</v>
      </c>
      <c r="M101">
        <v>2</v>
      </c>
      <c r="N101">
        <v>-10.164</v>
      </c>
      <c r="O101">
        <v>1</v>
      </c>
      <c r="P101">
        <v>4.9700000000000001E-2</v>
      </c>
      <c r="Q101">
        <v>0.40600000000000003</v>
      </c>
      <c r="R101">
        <v>2.0899999999999998E-2</v>
      </c>
      <c r="S101">
        <v>0.10100000000000001</v>
      </c>
      <c r="T101">
        <v>0.82199999999999995</v>
      </c>
      <c r="U101">
        <v>98.882999999999996</v>
      </c>
      <c r="V101">
        <v>4</v>
      </c>
    </row>
    <row r="102" spans="1:22" ht="15" customHeight="1" x14ac:dyDescent="0.2">
      <c r="A102" t="s">
        <v>982</v>
      </c>
      <c r="B102" t="s">
        <v>197</v>
      </c>
      <c r="C102" t="s">
        <v>823</v>
      </c>
      <c r="D102" t="s">
        <v>16</v>
      </c>
      <c r="E102" s="84">
        <v>41737</v>
      </c>
      <c r="F102">
        <v>219953</v>
      </c>
      <c r="G102">
        <v>22</v>
      </c>
      <c r="H102">
        <v>125771062</v>
      </c>
      <c r="I102" t="s">
        <v>930</v>
      </c>
      <c r="K102">
        <v>0.57099999999999995</v>
      </c>
      <c r="L102">
        <v>0.8</v>
      </c>
      <c r="M102">
        <v>4</v>
      </c>
      <c r="N102">
        <v>-6.4619999999999997</v>
      </c>
      <c r="O102">
        <v>1</v>
      </c>
      <c r="P102">
        <v>3.0599999999999999E-2</v>
      </c>
      <c r="Q102">
        <v>1.7999999999999999E-2</v>
      </c>
      <c r="R102">
        <v>0</v>
      </c>
      <c r="S102">
        <v>7.51E-2</v>
      </c>
      <c r="T102">
        <v>0.51800000000000002</v>
      </c>
      <c r="U102">
        <v>143.953</v>
      </c>
      <c r="V102">
        <v>4</v>
      </c>
    </row>
    <row r="103" spans="1:22" ht="15" customHeight="1" x14ac:dyDescent="0.2">
      <c r="A103" t="s">
        <v>983</v>
      </c>
      <c r="B103" t="s">
        <v>695</v>
      </c>
      <c r="C103" t="s">
        <v>984</v>
      </c>
      <c r="D103" t="s">
        <v>199</v>
      </c>
      <c r="E103" s="84">
        <v>43525</v>
      </c>
      <c r="F103">
        <v>254546</v>
      </c>
      <c r="G103">
        <v>36</v>
      </c>
      <c r="H103">
        <v>125771062</v>
      </c>
      <c r="I103" t="s">
        <v>985</v>
      </c>
      <c r="J103" t="s">
        <v>1813</v>
      </c>
      <c r="K103">
        <v>0.55300000000000005</v>
      </c>
      <c r="L103">
        <v>0.623</v>
      </c>
      <c r="M103">
        <v>5</v>
      </c>
      <c r="N103">
        <v>-7.3419999999999996</v>
      </c>
      <c r="O103">
        <v>1</v>
      </c>
      <c r="P103">
        <v>2.58E-2</v>
      </c>
      <c r="Q103">
        <v>0.113</v>
      </c>
      <c r="R103">
        <v>0</v>
      </c>
      <c r="S103">
        <v>5.6000000000000001E-2</v>
      </c>
      <c r="T103">
        <v>0.57599999999999996</v>
      </c>
      <c r="U103">
        <v>168.62700000000001</v>
      </c>
      <c r="V103">
        <v>4</v>
      </c>
    </row>
    <row r="104" spans="1:22" ht="15" customHeight="1" x14ac:dyDescent="0.2">
      <c r="A104" t="s">
        <v>986</v>
      </c>
      <c r="B104" t="s">
        <v>772</v>
      </c>
      <c r="C104" t="s">
        <v>987</v>
      </c>
      <c r="D104" t="s">
        <v>338</v>
      </c>
      <c r="E104" s="84">
        <v>42797</v>
      </c>
      <c r="F104">
        <v>170826</v>
      </c>
      <c r="G104">
        <v>82</v>
      </c>
      <c r="H104">
        <v>125771062</v>
      </c>
      <c r="I104" t="s">
        <v>988</v>
      </c>
      <c r="J104" t="s">
        <v>1783</v>
      </c>
      <c r="K104">
        <v>0.624</v>
      </c>
      <c r="L104">
        <v>0.876</v>
      </c>
      <c r="M104">
        <v>9</v>
      </c>
      <c r="N104">
        <v>-3.3740000000000001</v>
      </c>
      <c r="O104">
        <v>1</v>
      </c>
      <c r="P104">
        <v>0.1</v>
      </c>
      <c r="Q104">
        <v>7.3499999999999996E-2</v>
      </c>
      <c r="R104">
        <v>0</v>
      </c>
      <c r="S104">
        <v>0.32700000000000001</v>
      </c>
      <c r="T104">
        <v>0.78100000000000003</v>
      </c>
      <c r="U104">
        <v>99.942999999999998</v>
      </c>
      <c r="V104">
        <v>4</v>
      </c>
    </row>
    <row r="105" spans="1:22" ht="15" customHeight="1" x14ac:dyDescent="0.2">
      <c r="A105" t="s">
        <v>989</v>
      </c>
      <c r="B105" t="s">
        <v>780</v>
      </c>
      <c r="C105" t="s">
        <v>990</v>
      </c>
      <c r="D105" t="s">
        <v>202</v>
      </c>
      <c r="E105">
        <v>1999</v>
      </c>
      <c r="F105">
        <v>217573</v>
      </c>
      <c r="G105">
        <v>84</v>
      </c>
      <c r="H105">
        <v>125771062</v>
      </c>
      <c r="I105" t="s">
        <v>991</v>
      </c>
      <c r="K105">
        <v>0.63300000000000001</v>
      </c>
      <c r="L105">
        <v>0.8</v>
      </c>
      <c r="M105">
        <v>1</v>
      </c>
      <c r="N105">
        <v>-6.9450000000000003</v>
      </c>
      <c r="O105">
        <v>1</v>
      </c>
      <c r="P105">
        <v>0.16600000000000001</v>
      </c>
      <c r="Q105">
        <v>0.20899999999999999</v>
      </c>
      <c r="R105">
        <v>1.2300000000000001E-4</v>
      </c>
      <c r="S105">
        <v>0.13700000000000001</v>
      </c>
      <c r="T105">
        <v>0.91300000000000003</v>
      </c>
      <c r="U105">
        <v>175.71600000000001</v>
      </c>
      <c r="V105">
        <v>4</v>
      </c>
    </row>
    <row r="106" spans="1:22" ht="15" customHeight="1" x14ac:dyDescent="0.2">
      <c r="A106" t="s">
        <v>1691</v>
      </c>
      <c r="B106" t="s">
        <v>1692</v>
      </c>
      <c r="C106" t="s">
        <v>1693</v>
      </c>
      <c r="D106" t="s">
        <v>1884</v>
      </c>
      <c r="E106" s="84">
        <v>43441</v>
      </c>
      <c r="F106">
        <v>369626</v>
      </c>
      <c r="G106">
        <v>21</v>
      </c>
      <c r="H106">
        <v>125771062</v>
      </c>
      <c r="I106" t="s">
        <v>1694</v>
      </c>
      <c r="J106" t="s">
        <v>1814</v>
      </c>
      <c r="K106">
        <v>0.81</v>
      </c>
      <c r="L106">
        <v>0.79300000000000004</v>
      </c>
      <c r="M106">
        <v>6</v>
      </c>
      <c r="N106">
        <v>-9.4039999999999999</v>
      </c>
      <c r="O106">
        <v>0</v>
      </c>
      <c r="P106">
        <v>4.0300000000000002E-2</v>
      </c>
      <c r="Q106">
        <v>3.78E-2</v>
      </c>
      <c r="R106">
        <v>1.77E-6</v>
      </c>
      <c r="S106">
        <v>7.1999999999999995E-2</v>
      </c>
      <c r="T106">
        <v>0.86299999999999999</v>
      </c>
      <c r="U106">
        <v>116.05</v>
      </c>
      <c r="V106">
        <v>4</v>
      </c>
    </row>
    <row r="107" spans="1:22" ht="15" customHeight="1" x14ac:dyDescent="0.2">
      <c r="A107" t="s">
        <v>992</v>
      </c>
      <c r="B107" t="s">
        <v>696</v>
      </c>
      <c r="C107" t="s">
        <v>904</v>
      </c>
      <c r="D107" t="s">
        <v>138</v>
      </c>
      <c r="E107">
        <v>1979</v>
      </c>
      <c r="F107">
        <v>292613</v>
      </c>
      <c r="G107">
        <v>84</v>
      </c>
      <c r="H107">
        <v>125771062</v>
      </c>
      <c r="I107" t="s">
        <v>930</v>
      </c>
      <c r="K107">
        <v>0.749</v>
      </c>
      <c r="L107">
        <v>0.49099999999999999</v>
      </c>
      <c r="M107">
        <v>10</v>
      </c>
      <c r="N107">
        <v>-9.6549999999999994</v>
      </c>
      <c r="O107">
        <v>1</v>
      </c>
      <c r="P107">
        <v>4.0300000000000002E-2</v>
      </c>
      <c r="Q107">
        <v>0.02</v>
      </c>
      <c r="R107">
        <v>8.9899999999999997E-3</v>
      </c>
      <c r="S107">
        <v>0.159</v>
      </c>
      <c r="T107">
        <v>0.53600000000000003</v>
      </c>
      <c r="U107">
        <v>119.52800000000001</v>
      </c>
      <c r="V107">
        <v>4</v>
      </c>
    </row>
    <row r="108" spans="1:22" ht="15" customHeight="1" x14ac:dyDescent="0.2">
      <c r="A108" t="s">
        <v>993</v>
      </c>
      <c r="B108" t="s">
        <v>697</v>
      </c>
      <c r="C108" t="s">
        <v>994</v>
      </c>
      <c r="D108" t="s">
        <v>698</v>
      </c>
      <c r="E108" s="84">
        <v>42839</v>
      </c>
      <c r="F108">
        <v>172992</v>
      </c>
      <c r="G108">
        <v>51</v>
      </c>
      <c r="H108">
        <v>125771062</v>
      </c>
      <c r="I108" t="s">
        <v>995</v>
      </c>
      <c r="J108" t="s">
        <v>1815</v>
      </c>
      <c r="K108">
        <v>0.438</v>
      </c>
      <c r="L108">
        <v>0.35599999999999998</v>
      </c>
      <c r="M108">
        <v>8</v>
      </c>
      <c r="N108">
        <v>-11.448</v>
      </c>
      <c r="O108">
        <v>0</v>
      </c>
      <c r="P108">
        <v>3.8800000000000001E-2</v>
      </c>
      <c r="Q108">
        <v>0.74</v>
      </c>
      <c r="R108">
        <v>0</v>
      </c>
      <c r="S108">
        <v>0.14599999999999999</v>
      </c>
      <c r="T108">
        <v>0.35599999999999998</v>
      </c>
      <c r="U108">
        <v>186.267</v>
      </c>
      <c r="V108">
        <v>4</v>
      </c>
    </row>
    <row r="109" spans="1:22" ht="15" customHeight="1" x14ac:dyDescent="0.2">
      <c r="A109" t="s">
        <v>996</v>
      </c>
      <c r="B109" t="s">
        <v>205</v>
      </c>
      <c r="C109" t="s">
        <v>1816</v>
      </c>
      <c r="D109" t="s">
        <v>206</v>
      </c>
      <c r="E109">
        <v>2010</v>
      </c>
      <c r="F109">
        <v>180293</v>
      </c>
      <c r="G109">
        <v>44</v>
      </c>
      <c r="H109">
        <v>125771062</v>
      </c>
      <c r="I109" t="s">
        <v>930</v>
      </c>
      <c r="J109" t="s">
        <v>793</v>
      </c>
      <c r="K109">
        <v>0.753</v>
      </c>
      <c r="L109">
        <v>0.82399999999999995</v>
      </c>
      <c r="M109">
        <v>0</v>
      </c>
      <c r="N109">
        <v>-4.3010000000000002</v>
      </c>
      <c r="O109">
        <v>1</v>
      </c>
      <c r="P109">
        <v>3.85E-2</v>
      </c>
      <c r="Q109">
        <v>9.3700000000000001E-4</v>
      </c>
      <c r="R109">
        <v>1.8000000000000001E-4</v>
      </c>
      <c r="S109">
        <v>0.14099999999999999</v>
      </c>
      <c r="T109">
        <v>0.93700000000000006</v>
      </c>
      <c r="U109">
        <v>117.95</v>
      </c>
      <c r="V109">
        <v>4</v>
      </c>
    </row>
    <row r="110" spans="1:22" ht="15" customHeight="1" x14ac:dyDescent="0.2">
      <c r="A110" t="s">
        <v>997</v>
      </c>
      <c r="B110" t="s">
        <v>699</v>
      </c>
      <c r="C110" t="s">
        <v>998</v>
      </c>
      <c r="D110" t="s">
        <v>208</v>
      </c>
      <c r="E110" s="84">
        <v>35717</v>
      </c>
      <c r="F110">
        <v>153466</v>
      </c>
      <c r="G110">
        <v>82</v>
      </c>
      <c r="H110">
        <v>125771062</v>
      </c>
      <c r="I110" t="s">
        <v>930</v>
      </c>
      <c r="J110" t="s">
        <v>1817</v>
      </c>
      <c r="K110">
        <v>0.47499999999999998</v>
      </c>
      <c r="L110">
        <v>0.432</v>
      </c>
      <c r="M110">
        <v>7</v>
      </c>
      <c r="N110">
        <v>-7.8440000000000003</v>
      </c>
      <c r="O110">
        <v>1</v>
      </c>
      <c r="P110">
        <v>3.0200000000000001E-2</v>
      </c>
      <c r="Q110">
        <v>0.183</v>
      </c>
      <c r="R110">
        <v>0</v>
      </c>
      <c r="S110">
        <v>0.161</v>
      </c>
      <c r="T110">
        <v>0.64800000000000002</v>
      </c>
      <c r="U110">
        <v>94.605000000000004</v>
      </c>
      <c r="V110">
        <v>4</v>
      </c>
    </row>
    <row r="111" spans="1:22" ht="15" customHeight="1" x14ac:dyDescent="0.2">
      <c r="A111" t="s">
        <v>999</v>
      </c>
      <c r="B111" t="s">
        <v>567</v>
      </c>
      <c r="C111" t="s">
        <v>823</v>
      </c>
      <c r="D111" t="s">
        <v>16</v>
      </c>
      <c r="E111" s="84">
        <v>41737</v>
      </c>
      <c r="F111">
        <v>194932</v>
      </c>
      <c r="G111">
        <v>23</v>
      </c>
      <c r="H111">
        <v>125771062</v>
      </c>
      <c r="I111" t="s">
        <v>1000</v>
      </c>
      <c r="K111">
        <v>0.68300000000000005</v>
      </c>
      <c r="L111">
        <v>0.63300000000000001</v>
      </c>
      <c r="M111">
        <v>7</v>
      </c>
      <c r="N111">
        <v>-7.0640000000000001</v>
      </c>
      <c r="O111">
        <v>1</v>
      </c>
      <c r="P111">
        <v>2.7300000000000001E-2</v>
      </c>
      <c r="Q111">
        <v>1.9199999999999998E-2</v>
      </c>
      <c r="R111">
        <v>1.11E-6</v>
      </c>
      <c r="S111">
        <v>5.96E-2</v>
      </c>
      <c r="T111">
        <v>0.59699999999999998</v>
      </c>
      <c r="U111">
        <v>117.949</v>
      </c>
      <c r="V111">
        <v>4</v>
      </c>
    </row>
    <row r="112" spans="1:22" ht="15" customHeight="1" x14ac:dyDescent="0.2">
      <c r="A112" t="s">
        <v>1001</v>
      </c>
      <c r="B112" t="s">
        <v>700</v>
      </c>
      <c r="C112" t="s">
        <v>1002</v>
      </c>
      <c r="D112" t="s">
        <v>194</v>
      </c>
      <c r="E112" s="84">
        <v>42111</v>
      </c>
      <c r="F112">
        <v>222146</v>
      </c>
      <c r="G112">
        <v>57</v>
      </c>
      <c r="H112">
        <v>125771062</v>
      </c>
      <c r="I112" t="s">
        <v>1000</v>
      </c>
      <c r="J112" t="s">
        <v>1883</v>
      </c>
      <c r="K112">
        <v>0.58499999999999996</v>
      </c>
      <c r="L112">
        <v>0.371</v>
      </c>
      <c r="M112">
        <v>1</v>
      </c>
      <c r="N112">
        <v>-7.3979999999999997</v>
      </c>
      <c r="O112">
        <v>1</v>
      </c>
      <c r="P112">
        <v>3.61E-2</v>
      </c>
      <c r="Q112">
        <v>0.51300000000000001</v>
      </c>
      <c r="R112">
        <v>0</v>
      </c>
      <c r="S112">
        <v>9.5699999999999993E-2</v>
      </c>
      <c r="T112">
        <v>0.625</v>
      </c>
      <c r="U112">
        <v>127.289</v>
      </c>
      <c r="V112">
        <v>4</v>
      </c>
    </row>
    <row r="113" spans="1:22" ht="15" customHeight="1" x14ac:dyDescent="0.2">
      <c r="A113" t="s">
        <v>1003</v>
      </c>
      <c r="B113" t="s">
        <v>212</v>
      </c>
      <c r="C113" t="s">
        <v>1004</v>
      </c>
      <c r="D113" t="s">
        <v>213</v>
      </c>
      <c r="E113" s="84">
        <v>41081</v>
      </c>
      <c r="F113">
        <v>168000</v>
      </c>
      <c r="G113">
        <v>0</v>
      </c>
      <c r="H113">
        <v>125771062</v>
      </c>
      <c r="I113" t="s">
        <v>1005</v>
      </c>
      <c r="K113">
        <v>0.53900000000000003</v>
      </c>
      <c r="L113">
        <v>0.312</v>
      </c>
      <c r="M113">
        <v>7</v>
      </c>
      <c r="N113">
        <v>-7.0049999999999999</v>
      </c>
      <c r="O113">
        <v>1</v>
      </c>
      <c r="P113">
        <v>2.58E-2</v>
      </c>
      <c r="Q113">
        <v>0.86599999999999999</v>
      </c>
      <c r="R113">
        <v>0</v>
      </c>
      <c r="S113">
        <v>9.8799999999999999E-2</v>
      </c>
      <c r="T113">
        <v>0.316</v>
      </c>
      <c r="U113">
        <v>83.177999999999997</v>
      </c>
      <c r="V113">
        <v>4</v>
      </c>
    </row>
    <row r="114" spans="1:22" ht="15" customHeight="1" x14ac:dyDescent="0.2">
      <c r="A114" t="s">
        <v>1006</v>
      </c>
      <c r="B114" t="s">
        <v>783</v>
      </c>
      <c r="C114" t="s">
        <v>1007</v>
      </c>
      <c r="D114" t="s">
        <v>784</v>
      </c>
      <c r="E114" s="84">
        <v>41404</v>
      </c>
      <c r="F114">
        <v>111240</v>
      </c>
      <c r="G114">
        <v>0</v>
      </c>
      <c r="H114">
        <v>125771062</v>
      </c>
      <c r="I114" t="s">
        <v>1008</v>
      </c>
      <c r="J114" t="s">
        <v>1818</v>
      </c>
      <c r="K114">
        <v>0.59199999999999997</v>
      </c>
      <c r="L114">
        <v>0.627</v>
      </c>
      <c r="M114">
        <v>10</v>
      </c>
      <c r="N114">
        <v>-10.14</v>
      </c>
      <c r="O114">
        <v>1</v>
      </c>
      <c r="P114">
        <v>6.6199999999999995E-2</v>
      </c>
      <c r="Q114">
        <v>0.55000000000000004</v>
      </c>
      <c r="R114">
        <v>0</v>
      </c>
      <c r="S114">
        <v>0.43</v>
      </c>
      <c r="T114">
        <v>0.90900000000000003</v>
      </c>
      <c r="U114">
        <v>79.566999999999993</v>
      </c>
      <c r="V114">
        <v>4</v>
      </c>
    </row>
    <row r="115" spans="1:22" ht="15" customHeight="1" x14ac:dyDescent="0.2">
      <c r="A115" t="s">
        <v>1009</v>
      </c>
      <c r="B115" t="s">
        <v>594</v>
      </c>
      <c r="C115" t="s">
        <v>906</v>
      </c>
      <c r="D115" t="s">
        <v>28</v>
      </c>
      <c r="E115" s="84">
        <v>37495</v>
      </c>
      <c r="F115">
        <v>223040</v>
      </c>
      <c r="G115">
        <v>68</v>
      </c>
      <c r="H115">
        <v>125771062</v>
      </c>
      <c r="I115" t="s">
        <v>1000</v>
      </c>
      <c r="K115">
        <v>0.60699999999999998</v>
      </c>
      <c r="L115">
        <v>0.40500000000000003</v>
      </c>
      <c r="M115">
        <v>9</v>
      </c>
      <c r="N115">
        <v>-8.6069999999999993</v>
      </c>
      <c r="O115">
        <v>1</v>
      </c>
      <c r="P115">
        <v>2.6499999999999999E-2</v>
      </c>
      <c r="Q115">
        <v>0.53900000000000003</v>
      </c>
      <c r="R115">
        <v>6.7000000000000002E-6</v>
      </c>
      <c r="S115">
        <v>0.23100000000000001</v>
      </c>
      <c r="T115">
        <v>0.23300000000000001</v>
      </c>
      <c r="U115">
        <v>129.54300000000001</v>
      </c>
      <c r="V115">
        <v>4</v>
      </c>
    </row>
    <row r="116" spans="1:22" ht="15" customHeight="1" x14ac:dyDescent="0.2">
      <c r="A116" t="s">
        <v>1010</v>
      </c>
      <c r="B116" t="s">
        <v>215</v>
      </c>
      <c r="C116" t="s">
        <v>215</v>
      </c>
      <c r="D116" t="s">
        <v>178</v>
      </c>
      <c r="E116">
        <v>1972</v>
      </c>
      <c r="F116">
        <v>226213</v>
      </c>
      <c r="G116">
        <v>69</v>
      </c>
      <c r="H116">
        <v>125771062</v>
      </c>
      <c r="I116" t="s">
        <v>1000</v>
      </c>
      <c r="J116" t="s">
        <v>1809</v>
      </c>
      <c r="K116">
        <v>0.55300000000000005</v>
      </c>
      <c r="L116">
        <v>0.50600000000000001</v>
      </c>
      <c r="M116">
        <v>4</v>
      </c>
      <c r="N116">
        <v>-13.271000000000001</v>
      </c>
      <c r="O116">
        <v>0</v>
      </c>
      <c r="P116">
        <v>4.5999999999999999E-2</v>
      </c>
      <c r="Q116">
        <v>0.14399999999999999</v>
      </c>
      <c r="R116">
        <v>3.7799999999999998E-6</v>
      </c>
      <c r="S116">
        <v>0.438</v>
      </c>
      <c r="T116">
        <v>0.51</v>
      </c>
      <c r="U116">
        <v>143.27799999999999</v>
      </c>
      <c r="V116">
        <v>4</v>
      </c>
    </row>
    <row r="117" spans="1:22" ht="15" customHeight="1" x14ac:dyDescent="0.2">
      <c r="A117" t="s">
        <v>1695</v>
      </c>
      <c r="B117" t="s">
        <v>216</v>
      </c>
      <c r="C117" t="s">
        <v>1696</v>
      </c>
      <c r="D117" t="s">
        <v>1697</v>
      </c>
      <c r="E117" s="84">
        <v>36892</v>
      </c>
      <c r="F117">
        <v>248800</v>
      </c>
      <c r="G117">
        <v>61</v>
      </c>
      <c r="H117">
        <v>125771062</v>
      </c>
      <c r="I117" t="s">
        <v>1698</v>
      </c>
      <c r="J117" t="s">
        <v>1800</v>
      </c>
      <c r="K117">
        <v>0.34399999999999997</v>
      </c>
      <c r="L117">
        <v>0.19700000000000001</v>
      </c>
      <c r="M117">
        <v>9</v>
      </c>
      <c r="N117">
        <v>-7.5179999999999998</v>
      </c>
      <c r="O117">
        <v>0</v>
      </c>
      <c r="P117">
        <v>3.2099999999999997E-2</v>
      </c>
      <c r="Q117">
        <v>0.88100000000000001</v>
      </c>
      <c r="R117">
        <v>0</v>
      </c>
      <c r="S117">
        <v>0.104</v>
      </c>
      <c r="T117">
        <v>0.44400000000000001</v>
      </c>
      <c r="U117">
        <v>72.608999999999995</v>
      </c>
      <c r="V117">
        <v>4</v>
      </c>
    </row>
    <row r="118" spans="1:22" ht="15" customHeight="1" x14ac:dyDescent="0.2">
      <c r="A118" t="s">
        <v>1011</v>
      </c>
      <c r="B118" t="s">
        <v>635</v>
      </c>
      <c r="C118" t="s">
        <v>854</v>
      </c>
      <c r="D118" t="s">
        <v>668</v>
      </c>
      <c r="E118" s="84">
        <v>39769</v>
      </c>
      <c r="F118">
        <v>261640</v>
      </c>
      <c r="G118">
        <v>76</v>
      </c>
      <c r="H118">
        <v>125771062</v>
      </c>
      <c r="I118" t="s">
        <v>1000</v>
      </c>
      <c r="K118">
        <v>0.50800000000000001</v>
      </c>
      <c r="L118">
        <v>0.72</v>
      </c>
      <c r="M118">
        <v>11</v>
      </c>
      <c r="N118">
        <v>-5.9080000000000004</v>
      </c>
      <c r="O118">
        <v>0</v>
      </c>
      <c r="P118">
        <v>6.2799999999999995E-2</v>
      </c>
      <c r="Q118">
        <v>0.27200000000000002</v>
      </c>
      <c r="R118">
        <v>0</v>
      </c>
      <c r="S118">
        <v>5.6300000000000003E-2</v>
      </c>
      <c r="T118">
        <v>0.47199999999999998</v>
      </c>
      <c r="U118">
        <v>79.983000000000004</v>
      </c>
      <c r="V118">
        <v>4</v>
      </c>
    </row>
    <row r="119" spans="1:22" ht="15" customHeight="1" x14ac:dyDescent="0.2">
      <c r="A119" t="s">
        <v>1633</v>
      </c>
      <c r="B119" t="s">
        <v>1885</v>
      </c>
      <c r="C119" t="s">
        <v>1634</v>
      </c>
      <c r="D119" t="s">
        <v>1635</v>
      </c>
      <c r="E119" s="84">
        <v>41701</v>
      </c>
      <c r="F119">
        <v>233306</v>
      </c>
      <c r="G119">
        <v>83</v>
      </c>
      <c r="H119">
        <v>125771062</v>
      </c>
      <c r="I119" t="s">
        <v>1636</v>
      </c>
      <c r="K119">
        <v>0.64700000000000002</v>
      </c>
      <c r="L119">
        <v>0.82199999999999995</v>
      </c>
      <c r="M119">
        <v>5</v>
      </c>
      <c r="N119">
        <v>-4.6619999999999999</v>
      </c>
      <c r="O119">
        <v>0</v>
      </c>
      <c r="P119">
        <v>0.183</v>
      </c>
      <c r="Q119">
        <v>0.219</v>
      </c>
      <c r="R119">
        <v>0</v>
      </c>
      <c r="S119">
        <v>9.0800000000000006E-2</v>
      </c>
      <c r="T119">
        <v>0.96199999999999997</v>
      </c>
      <c r="U119">
        <v>160.01900000000001</v>
      </c>
      <c r="V119">
        <v>4</v>
      </c>
    </row>
    <row r="120" spans="1:22" ht="15" customHeight="1" x14ac:dyDescent="0.2">
      <c r="A120" t="s">
        <v>1925</v>
      </c>
      <c r="B120" t="s">
        <v>1926</v>
      </c>
      <c r="C120" t="s">
        <v>938</v>
      </c>
      <c r="D120" t="s">
        <v>226</v>
      </c>
      <c r="E120" s="84">
        <v>38306</v>
      </c>
      <c r="F120">
        <v>303213</v>
      </c>
      <c r="G120">
        <v>63</v>
      </c>
      <c r="H120">
        <v>125771062</v>
      </c>
      <c r="I120" t="s">
        <v>1927</v>
      </c>
      <c r="J120" t="s">
        <v>1820</v>
      </c>
      <c r="K120">
        <v>0.64800000000000002</v>
      </c>
      <c r="L120">
        <v>0.31</v>
      </c>
      <c r="M120">
        <v>2</v>
      </c>
      <c r="N120">
        <v>-12.430999999999999</v>
      </c>
      <c r="O120">
        <v>1</v>
      </c>
      <c r="P120">
        <v>2.64E-2</v>
      </c>
      <c r="Q120">
        <v>0.53</v>
      </c>
      <c r="R120">
        <v>2.31E-4</v>
      </c>
      <c r="S120">
        <v>0.124</v>
      </c>
      <c r="T120">
        <v>0.40799999999999997</v>
      </c>
      <c r="U120">
        <v>112.938</v>
      </c>
      <c r="V120">
        <v>4</v>
      </c>
    </row>
    <row r="121" spans="1:22" ht="15" customHeight="1" x14ac:dyDescent="0.2">
      <c r="A121" t="s">
        <v>1699</v>
      </c>
      <c r="B121" t="s">
        <v>1700</v>
      </c>
      <c r="C121" t="s">
        <v>1886</v>
      </c>
      <c r="D121" t="s">
        <v>1701</v>
      </c>
      <c r="E121" s="84">
        <v>43133</v>
      </c>
      <c r="F121">
        <v>174746</v>
      </c>
      <c r="G121">
        <v>0</v>
      </c>
      <c r="H121">
        <v>125771062</v>
      </c>
      <c r="I121" t="s">
        <v>1702</v>
      </c>
      <c r="K121">
        <v>0.75</v>
      </c>
      <c r="L121">
        <v>0.495</v>
      </c>
      <c r="M121">
        <v>2</v>
      </c>
      <c r="N121">
        <v>-5.101</v>
      </c>
      <c r="O121">
        <v>1</v>
      </c>
      <c r="P121">
        <v>3.3599999999999998E-2</v>
      </c>
      <c r="Q121">
        <v>0.22500000000000001</v>
      </c>
      <c r="R121">
        <v>3.1300000000000002E-5</v>
      </c>
      <c r="S121">
        <v>0.14899999999999999</v>
      </c>
      <c r="T121">
        <v>0.439</v>
      </c>
      <c r="U121">
        <v>106.01900000000001</v>
      </c>
      <c r="V121">
        <v>4</v>
      </c>
    </row>
    <row r="122" spans="1:22" ht="15" customHeight="1" x14ac:dyDescent="0.2">
      <c r="A122" t="s">
        <v>1012</v>
      </c>
      <c r="B122" t="s">
        <v>222</v>
      </c>
      <c r="C122" t="s">
        <v>1013</v>
      </c>
      <c r="D122" t="s">
        <v>701</v>
      </c>
      <c r="E122" s="84">
        <v>25909</v>
      </c>
      <c r="F122">
        <v>160333</v>
      </c>
      <c r="G122">
        <v>70</v>
      </c>
      <c r="H122">
        <v>125771062</v>
      </c>
      <c r="I122" t="s">
        <v>1000</v>
      </c>
      <c r="J122" t="s">
        <v>1819</v>
      </c>
      <c r="K122">
        <v>0.74299999999999999</v>
      </c>
      <c r="L122">
        <v>0.47</v>
      </c>
      <c r="M122">
        <v>0</v>
      </c>
      <c r="N122">
        <v>-13.154</v>
      </c>
      <c r="O122">
        <v>1</v>
      </c>
      <c r="P122">
        <v>2.9000000000000001E-2</v>
      </c>
      <c r="Q122">
        <v>9.3600000000000003E-2</v>
      </c>
      <c r="R122">
        <v>3.15E-5</v>
      </c>
      <c r="S122">
        <v>0.186</v>
      </c>
      <c r="T122">
        <v>0.89</v>
      </c>
      <c r="U122">
        <v>116.122</v>
      </c>
      <c r="V122">
        <v>4</v>
      </c>
    </row>
    <row r="123" spans="1:22" ht="15" customHeight="1" x14ac:dyDescent="0.2">
      <c r="A123" t="s">
        <v>1703</v>
      </c>
      <c r="B123" t="s">
        <v>1704</v>
      </c>
      <c r="C123" t="s">
        <v>1705</v>
      </c>
      <c r="D123" t="s">
        <v>226</v>
      </c>
      <c r="E123" s="84">
        <v>26330</v>
      </c>
      <c r="F123">
        <v>187110</v>
      </c>
      <c r="G123">
        <v>77</v>
      </c>
      <c r="H123">
        <v>125771062</v>
      </c>
      <c r="I123" t="s">
        <v>1706</v>
      </c>
      <c r="J123" t="s">
        <v>1820</v>
      </c>
      <c r="K123">
        <v>0.53700000000000003</v>
      </c>
      <c r="L123">
        <v>0.39900000000000002</v>
      </c>
      <c r="M123">
        <v>4</v>
      </c>
      <c r="N123">
        <v>-13.547000000000001</v>
      </c>
      <c r="O123">
        <v>0</v>
      </c>
      <c r="P123">
        <v>2.69E-2</v>
      </c>
      <c r="Q123">
        <v>0.20200000000000001</v>
      </c>
      <c r="R123">
        <v>5.4600000000000003E-2</v>
      </c>
      <c r="S123">
        <v>0.109</v>
      </c>
      <c r="T123">
        <v>0.83199999999999996</v>
      </c>
      <c r="U123">
        <v>171.40199999999999</v>
      </c>
      <c r="V123">
        <v>4</v>
      </c>
    </row>
    <row r="124" spans="1:22" ht="15" customHeight="1" x14ac:dyDescent="0.2">
      <c r="A124" t="s">
        <v>1014</v>
      </c>
      <c r="B124" t="s">
        <v>788</v>
      </c>
      <c r="C124" t="s">
        <v>1015</v>
      </c>
      <c r="D124" t="s">
        <v>122</v>
      </c>
      <c r="E124" s="84">
        <v>30991</v>
      </c>
      <c r="F124">
        <v>243360</v>
      </c>
      <c r="G124">
        <v>85</v>
      </c>
      <c r="H124">
        <v>125771062</v>
      </c>
      <c r="I124" t="s">
        <v>1016</v>
      </c>
      <c r="K124">
        <v>0.379</v>
      </c>
      <c r="L124">
        <v>0.58899999999999997</v>
      </c>
      <c r="M124">
        <v>9</v>
      </c>
      <c r="N124">
        <v>-7.3150000000000004</v>
      </c>
      <c r="O124">
        <v>0</v>
      </c>
      <c r="P124">
        <v>2.7E-2</v>
      </c>
      <c r="Q124">
        <v>4.7300000000000002E-2</v>
      </c>
      <c r="R124">
        <v>0</v>
      </c>
      <c r="S124">
        <v>0.122</v>
      </c>
      <c r="T124">
        <v>0.33400000000000002</v>
      </c>
      <c r="U124">
        <v>140.06800000000001</v>
      </c>
      <c r="V124">
        <v>4</v>
      </c>
    </row>
    <row r="125" spans="1:22" ht="15" customHeight="1" x14ac:dyDescent="0.2">
      <c r="A125" t="s">
        <v>1017</v>
      </c>
      <c r="B125" t="s">
        <v>227</v>
      </c>
      <c r="C125" t="s">
        <v>1018</v>
      </c>
      <c r="D125" t="s">
        <v>229</v>
      </c>
      <c r="E125" s="84">
        <v>30317</v>
      </c>
      <c r="F125">
        <v>251106</v>
      </c>
      <c r="G125">
        <v>61</v>
      </c>
      <c r="H125">
        <v>125771062</v>
      </c>
      <c r="I125" t="s">
        <v>1000</v>
      </c>
      <c r="J125" t="s">
        <v>1821</v>
      </c>
      <c r="K125">
        <v>0.48699999999999999</v>
      </c>
      <c r="L125">
        <v>0.246</v>
      </c>
      <c r="M125">
        <v>9</v>
      </c>
      <c r="N125">
        <v>-14.103999999999999</v>
      </c>
      <c r="O125">
        <v>0</v>
      </c>
      <c r="P125">
        <v>3.7600000000000001E-2</v>
      </c>
      <c r="Q125">
        <v>0.41399999999999998</v>
      </c>
      <c r="R125">
        <v>0</v>
      </c>
      <c r="S125">
        <v>9.8299999999999998E-2</v>
      </c>
      <c r="T125">
        <v>5.62E-2</v>
      </c>
      <c r="U125">
        <v>61.084000000000003</v>
      </c>
      <c r="V125">
        <v>4</v>
      </c>
    </row>
    <row r="126" spans="1:22" ht="15" customHeight="1" x14ac:dyDescent="0.2">
      <c r="A126" t="s">
        <v>1945</v>
      </c>
      <c r="B126" t="s">
        <v>1946</v>
      </c>
      <c r="C126" t="s">
        <v>1947</v>
      </c>
      <c r="D126" t="s">
        <v>673</v>
      </c>
      <c r="E126" s="84">
        <v>25472</v>
      </c>
      <c r="F126">
        <v>185733</v>
      </c>
      <c r="G126">
        <v>85</v>
      </c>
      <c r="H126">
        <v>125771062</v>
      </c>
      <c r="I126" t="s">
        <v>1948</v>
      </c>
      <c r="J126" t="s">
        <v>1781</v>
      </c>
      <c r="K126">
        <v>0.55700000000000005</v>
      </c>
      <c r="L126">
        <v>0.54</v>
      </c>
      <c r="M126">
        <v>9</v>
      </c>
      <c r="N126">
        <v>-10.484</v>
      </c>
      <c r="O126">
        <v>1</v>
      </c>
      <c r="P126">
        <v>3.4700000000000002E-2</v>
      </c>
      <c r="Q126">
        <v>3.39E-2</v>
      </c>
      <c r="R126">
        <v>2.48E-3</v>
      </c>
      <c r="S126">
        <v>0.17899999999999999</v>
      </c>
      <c r="T126">
        <v>0.39400000000000002</v>
      </c>
      <c r="U126">
        <v>129.17699999999999</v>
      </c>
      <c r="V126">
        <v>4</v>
      </c>
    </row>
    <row r="127" spans="1:22" ht="15" customHeight="1" x14ac:dyDescent="0.2">
      <c r="A127" t="s">
        <v>1019</v>
      </c>
      <c r="B127" t="s">
        <v>230</v>
      </c>
      <c r="C127" t="s">
        <v>1020</v>
      </c>
      <c r="D127" t="s">
        <v>231</v>
      </c>
      <c r="E127" s="84">
        <v>37572</v>
      </c>
      <c r="F127">
        <v>238733</v>
      </c>
      <c r="G127">
        <v>83</v>
      </c>
      <c r="H127">
        <v>125771062</v>
      </c>
      <c r="I127" t="s">
        <v>1000</v>
      </c>
      <c r="J127" t="s">
        <v>1822</v>
      </c>
      <c r="K127">
        <v>0.55700000000000005</v>
      </c>
      <c r="L127">
        <v>0.53300000000000003</v>
      </c>
      <c r="M127">
        <v>10</v>
      </c>
      <c r="N127">
        <v>-6.8170000000000002</v>
      </c>
      <c r="O127">
        <v>0</v>
      </c>
      <c r="P127">
        <v>2.52E-2</v>
      </c>
      <c r="Q127">
        <v>4.9200000000000001E-2</v>
      </c>
      <c r="R127">
        <v>0</v>
      </c>
      <c r="S127">
        <v>0.20499999999999999</v>
      </c>
      <c r="T127">
        <v>0.23300000000000001</v>
      </c>
      <c r="U127">
        <v>143.994</v>
      </c>
      <c r="V127">
        <v>4</v>
      </c>
    </row>
    <row r="128" spans="1:22" ht="15" customHeight="1" x14ac:dyDescent="0.2">
      <c r="A128" t="s">
        <v>1707</v>
      </c>
      <c r="B128" t="s">
        <v>1708</v>
      </c>
      <c r="C128" t="s">
        <v>938</v>
      </c>
      <c r="D128" t="s">
        <v>1709</v>
      </c>
      <c r="E128" s="84">
        <v>39448</v>
      </c>
      <c r="F128">
        <v>264213</v>
      </c>
      <c r="G128">
        <v>11</v>
      </c>
      <c r="H128">
        <v>125771062</v>
      </c>
      <c r="I128" t="s">
        <v>1710</v>
      </c>
      <c r="J128" t="s">
        <v>1823</v>
      </c>
      <c r="K128">
        <v>0.45500000000000002</v>
      </c>
      <c r="L128">
        <v>0.61599999999999999</v>
      </c>
      <c r="M128">
        <v>7</v>
      </c>
      <c r="N128">
        <v>-6.1790000000000003</v>
      </c>
      <c r="O128">
        <v>1</v>
      </c>
      <c r="P128">
        <v>4.5100000000000001E-2</v>
      </c>
      <c r="Q128">
        <v>0.152</v>
      </c>
      <c r="R128">
        <v>3.7599999999999999E-5</v>
      </c>
      <c r="S128">
        <v>0.10299999999999999</v>
      </c>
      <c r="T128">
        <v>0.156</v>
      </c>
      <c r="U128">
        <v>75.355999999999995</v>
      </c>
      <c r="V128">
        <v>4</v>
      </c>
    </row>
    <row r="129" spans="1:22" ht="15" customHeight="1" x14ac:dyDescent="0.2">
      <c r="A129" t="s">
        <v>1021</v>
      </c>
      <c r="B129" t="s">
        <v>232</v>
      </c>
      <c r="C129" t="s">
        <v>1022</v>
      </c>
      <c r="D129" t="s">
        <v>673</v>
      </c>
      <c r="E129" s="84">
        <v>39038</v>
      </c>
      <c r="F129">
        <v>238854</v>
      </c>
      <c r="G129">
        <v>75</v>
      </c>
      <c r="H129">
        <v>125771062</v>
      </c>
      <c r="I129" t="s">
        <v>1000</v>
      </c>
      <c r="J129" t="s">
        <v>1781</v>
      </c>
      <c r="K129">
        <v>0.46200000000000002</v>
      </c>
      <c r="L129">
        <v>0.63200000000000001</v>
      </c>
      <c r="M129">
        <v>5</v>
      </c>
      <c r="N129">
        <v>-7.4379999999999997</v>
      </c>
      <c r="O129">
        <v>1</v>
      </c>
      <c r="P129">
        <v>2.4799999999999999E-2</v>
      </c>
      <c r="Q129">
        <v>9.0999999999999998E-2</v>
      </c>
      <c r="R129">
        <v>0</v>
      </c>
      <c r="S129">
        <v>0.39700000000000002</v>
      </c>
      <c r="T129">
        <v>0.58499999999999996</v>
      </c>
      <c r="U129">
        <v>74.268000000000001</v>
      </c>
      <c r="V129">
        <v>4</v>
      </c>
    </row>
    <row r="130" spans="1:22" ht="15" customHeight="1" x14ac:dyDescent="0.2">
      <c r="A130" t="s">
        <v>1023</v>
      </c>
      <c r="B130" t="s">
        <v>236</v>
      </c>
      <c r="C130" t="s">
        <v>1887</v>
      </c>
      <c r="D130" t="s">
        <v>237</v>
      </c>
      <c r="E130" s="84">
        <v>40513</v>
      </c>
      <c r="F130">
        <v>216773</v>
      </c>
      <c r="G130">
        <v>85</v>
      </c>
      <c r="H130">
        <v>125771062</v>
      </c>
      <c r="I130" t="s">
        <v>1000</v>
      </c>
      <c r="J130" t="s">
        <v>1783</v>
      </c>
      <c r="K130">
        <v>0.67300000000000004</v>
      </c>
      <c r="L130">
        <v>0.88600000000000001</v>
      </c>
      <c r="M130">
        <v>1</v>
      </c>
      <c r="N130">
        <v>-4.4400000000000004</v>
      </c>
      <c r="O130">
        <v>0</v>
      </c>
      <c r="P130">
        <v>4.3099999999999999E-2</v>
      </c>
      <c r="Q130">
        <v>0.185</v>
      </c>
      <c r="R130">
        <v>0</v>
      </c>
      <c r="S130">
        <v>8.2600000000000007E-2</v>
      </c>
      <c r="T130">
        <v>0.79500000000000004</v>
      </c>
      <c r="U130">
        <v>97.012</v>
      </c>
      <c r="V130">
        <v>4</v>
      </c>
    </row>
    <row r="131" spans="1:22" ht="15" customHeight="1" x14ac:dyDescent="0.2">
      <c r="A131" t="s">
        <v>1024</v>
      </c>
      <c r="B131" t="s">
        <v>233</v>
      </c>
      <c r="C131" t="s">
        <v>1025</v>
      </c>
      <c r="D131" t="s">
        <v>234</v>
      </c>
      <c r="E131" s="84">
        <v>38377</v>
      </c>
      <c r="F131">
        <v>232533</v>
      </c>
      <c r="G131">
        <v>84</v>
      </c>
      <c r="H131">
        <v>125771062</v>
      </c>
      <c r="I131" t="s">
        <v>1000</v>
      </c>
      <c r="K131">
        <v>0.65800000000000003</v>
      </c>
      <c r="L131">
        <v>0.29099999999999998</v>
      </c>
      <c r="M131">
        <v>2</v>
      </c>
      <c r="N131">
        <v>-10.571999999999999</v>
      </c>
      <c r="O131">
        <v>1</v>
      </c>
      <c r="P131">
        <v>2.92E-2</v>
      </c>
      <c r="Q131">
        <v>0.872</v>
      </c>
      <c r="R131">
        <v>0</v>
      </c>
      <c r="S131">
        <v>0.114</v>
      </c>
      <c r="T131">
        <v>0.29499999999999998</v>
      </c>
      <c r="U131">
        <v>103.962</v>
      </c>
      <c r="V131">
        <v>4</v>
      </c>
    </row>
    <row r="132" spans="1:22" ht="15" customHeight="1" x14ac:dyDescent="0.2">
      <c r="A132" t="s">
        <v>1711</v>
      </c>
      <c r="B132" t="s">
        <v>1712</v>
      </c>
      <c r="C132" t="s">
        <v>1713</v>
      </c>
      <c r="D132" t="s">
        <v>241</v>
      </c>
      <c r="E132" s="84">
        <v>28102</v>
      </c>
      <c r="F132">
        <v>391376</v>
      </c>
      <c r="G132">
        <v>87</v>
      </c>
      <c r="H132">
        <v>125771062</v>
      </c>
      <c r="I132" t="s">
        <v>1714</v>
      </c>
      <c r="J132" t="s">
        <v>1810</v>
      </c>
      <c r="K132">
        <v>0.57899999999999996</v>
      </c>
      <c r="L132">
        <v>0.50800000000000001</v>
      </c>
      <c r="M132">
        <v>2</v>
      </c>
      <c r="N132">
        <v>-9.484</v>
      </c>
      <c r="O132">
        <v>1</v>
      </c>
      <c r="P132">
        <v>2.7E-2</v>
      </c>
      <c r="Q132">
        <v>5.7400000000000003E-3</v>
      </c>
      <c r="R132">
        <v>4.9399999999999997E-4</v>
      </c>
      <c r="S132">
        <v>5.7500000000000002E-2</v>
      </c>
      <c r="T132">
        <v>0.60899999999999999</v>
      </c>
      <c r="U132">
        <v>147.125</v>
      </c>
      <c r="V132">
        <v>4</v>
      </c>
    </row>
    <row r="133" spans="1:22" ht="15" customHeight="1" x14ac:dyDescent="0.2">
      <c r="A133" t="s">
        <v>1587</v>
      </c>
      <c r="B133" t="s">
        <v>1584</v>
      </c>
      <c r="C133" t="s">
        <v>1588</v>
      </c>
      <c r="D133" t="s">
        <v>1585</v>
      </c>
      <c r="E133" s="84">
        <v>28856</v>
      </c>
      <c r="F133">
        <v>245200</v>
      </c>
      <c r="G133">
        <v>82</v>
      </c>
      <c r="H133">
        <v>125771062</v>
      </c>
      <c r="I133" t="s">
        <v>1589</v>
      </c>
      <c r="J133" t="s">
        <v>1824</v>
      </c>
      <c r="K133">
        <v>0.63300000000000001</v>
      </c>
      <c r="L133">
        <v>0.35699999999999998</v>
      </c>
      <c r="M133">
        <v>5</v>
      </c>
      <c r="N133">
        <v>-9.3659999999999997</v>
      </c>
      <c r="O133">
        <v>0</v>
      </c>
      <c r="P133">
        <v>2.64E-2</v>
      </c>
      <c r="Q133">
        <v>0.107</v>
      </c>
      <c r="R133">
        <v>0</v>
      </c>
      <c r="S133">
        <v>0.13300000000000001</v>
      </c>
      <c r="T133">
        <v>0.67200000000000004</v>
      </c>
      <c r="U133">
        <v>104.938</v>
      </c>
      <c r="V133">
        <v>4</v>
      </c>
    </row>
    <row r="134" spans="1:22" ht="15" customHeight="1" x14ac:dyDescent="0.2">
      <c r="A134" t="s">
        <v>1026</v>
      </c>
      <c r="B134" t="s">
        <v>702</v>
      </c>
      <c r="C134" t="s">
        <v>830</v>
      </c>
      <c r="D134" t="s">
        <v>28</v>
      </c>
      <c r="E134" s="84">
        <v>42342</v>
      </c>
      <c r="F134">
        <v>258266</v>
      </c>
      <c r="G134">
        <v>85</v>
      </c>
      <c r="H134">
        <v>125771062</v>
      </c>
      <c r="I134" t="s">
        <v>1000</v>
      </c>
      <c r="K134">
        <v>0.49099999999999999</v>
      </c>
      <c r="L134">
        <v>0.69299999999999995</v>
      </c>
      <c r="M134">
        <v>0</v>
      </c>
      <c r="N134">
        <v>-6.4870000000000001</v>
      </c>
      <c r="O134">
        <v>0</v>
      </c>
      <c r="P134">
        <v>3.7699999999999997E-2</v>
      </c>
      <c r="Q134">
        <v>0.21099999999999999</v>
      </c>
      <c r="R134">
        <v>6.9199999999999998E-6</v>
      </c>
      <c r="S134">
        <v>0.32500000000000001</v>
      </c>
      <c r="T134">
        <v>0.41199999999999998</v>
      </c>
      <c r="U134">
        <v>90.027000000000001</v>
      </c>
      <c r="V134">
        <v>4</v>
      </c>
    </row>
    <row r="135" spans="1:22" ht="15" customHeight="1" x14ac:dyDescent="0.2">
      <c r="A135" t="s">
        <v>1027</v>
      </c>
      <c r="B135" t="s">
        <v>601</v>
      </c>
      <c r="C135" t="s">
        <v>904</v>
      </c>
      <c r="D135" t="s">
        <v>138</v>
      </c>
      <c r="E135">
        <v>1979</v>
      </c>
      <c r="F135">
        <v>285413</v>
      </c>
      <c r="G135">
        <v>68</v>
      </c>
      <c r="H135">
        <v>125771062</v>
      </c>
      <c r="I135" t="s">
        <v>1000</v>
      </c>
      <c r="K135">
        <v>0.54900000000000004</v>
      </c>
      <c r="L135">
        <v>0.374</v>
      </c>
      <c r="M135">
        <v>10</v>
      </c>
      <c r="N135">
        <v>-12.048999999999999</v>
      </c>
      <c r="O135">
        <v>1</v>
      </c>
      <c r="P135">
        <v>2.4400000000000002E-2</v>
      </c>
      <c r="Q135">
        <v>0.6</v>
      </c>
      <c r="R135">
        <v>0</v>
      </c>
      <c r="S135">
        <v>0.17799999999999999</v>
      </c>
      <c r="T135">
        <v>0.439</v>
      </c>
      <c r="U135">
        <v>104.31100000000001</v>
      </c>
      <c r="V135">
        <v>4</v>
      </c>
    </row>
    <row r="136" spans="1:22" ht="15" customHeight="1" x14ac:dyDescent="0.2">
      <c r="A136" t="s">
        <v>1028</v>
      </c>
      <c r="B136" t="s">
        <v>703</v>
      </c>
      <c r="C136" t="s">
        <v>1029</v>
      </c>
      <c r="D136" t="s">
        <v>673</v>
      </c>
      <c r="E136" s="84">
        <v>23092</v>
      </c>
      <c r="F136">
        <v>173946</v>
      </c>
      <c r="G136">
        <v>68</v>
      </c>
      <c r="H136">
        <v>125771062</v>
      </c>
      <c r="I136" t="s">
        <v>1000</v>
      </c>
      <c r="J136" t="s">
        <v>1781</v>
      </c>
      <c r="K136">
        <v>0.49099999999999999</v>
      </c>
      <c r="L136">
        <v>0.80100000000000005</v>
      </c>
      <c r="M136">
        <v>4</v>
      </c>
      <c r="N136">
        <v>-9.8350000000000009</v>
      </c>
      <c r="O136">
        <v>1</v>
      </c>
      <c r="P136">
        <v>3.61E-2</v>
      </c>
      <c r="Q136">
        <v>0.27</v>
      </c>
      <c r="R136">
        <v>0</v>
      </c>
      <c r="S136">
        <v>6.6500000000000004E-2</v>
      </c>
      <c r="T136">
        <v>0.97099999999999997</v>
      </c>
      <c r="U136">
        <v>160.10900000000001</v>
      </c>
      <c r="V136">
        <v>4</v>
      </c>
    </row>
    <row r="137" spans="1:22" ht="15" customHeight="1" x14ac:dyDescent="0.2">
      <c r="A137" t="s">
        <v>1030</v>
      </c>
      <c r="B137" t="s">
        <v>704</v>
      </c>
      <c r="C137" t="s">
        <v>954</v>
      </c>
      <c r="D137" t="s">
        <v>673</v>
      </c>
      <c r="E137" s="84">
        <v>36843</v>
      </c>
      <c r="F137">
        <v>145746</v>
      </c>
      <c r="G137">
        <v>67</v>
      </c>
      <c r="H137">
        <v>125771062</v>
      </c>
      <c r="I137" t="s">
        <v>1031</v>
      </c>
      <c r="J137" t="s">
        <v>1781</v>
      </c>
      <c r="K137">
        <v>0.49</v>
      </c>
      <c r="L137">
        <v>0.71499999999999997</v>
      </c>
      <c r="M137">
        <v>7</v>
      </c>
      <c r="N137">
        <v>-5.5490000000000004</v>
      </c>
      <c r="O137">
        <v>1</v>
      </c>
      <c r="P137">
        <v>4.7600000000000003E-2</v>
      </c>
      <c r="Q137">
        <v>0.38600000000000001</v>
      </c>
      <c r="R137">
        <v>0</v>
      </c>
      <c r="S137">
        <v>0.311</v>
      </c>
      <c r="T137">
        <v>0.86599999999999999</v>
      </c>
      <c r="U137">
        <v>130.726</v>
      </c>
      <c r="V137">
        <v>4</v>
      </c>
    </row>
    <row r="138" spans="1:22" ht="15" customHeight="1" x14ac:dyDescent="0.2">
      <c r="A138" t="s">
        <v>1032</v>
      </c>
      <c r="B138" t="s">
        <v>705</v>
      </c>
      <c r="C138" t="s">
        <v>1033</v>
      </c>
      <c r="D138" t="s">
        <v>167</v>
      </c>
      <c r="E138" s="84">
        <v>38593</v>
      </c>
      <c r="F138">
        <v>189186</v>
      </c>
      <c r="G138">
        <v>65</v>
      </c>
      <c r="H138">
        <v>125771062</v>
      </c>
      <c r="I138" t="s">
        <v>1000</v>
      </c>
      <c r="K138">
        <v>0.51700000000000002</v>
      </c>
      <c r="L138">
        <v>0.20599999999999999</v>
      </c>
      <c r="M138">
        <v>5</v>
      </c>
      <c r="N138">
        <v>-12.233000000000001</v>
      </c>
      <c r="O138">
        <v>1</v>
      </c>
      <c r="P138">
        <v>4.2099999999999999E-2</v>
      </c>
      <c r="Q138">
        <v>0.92400000000000004</v>
      </c>
      <c r="R138">
        <v>0</v>
      </c>
      <c r="S138">
        <v>0.11799999999999999</v>
      </c>
      <c r="T138">
        <v>0.48899999999999999</v>
      </c>
      <c r="U138">
        <v>80.400999999999996</v>
      </c>
      <c r="V138">
        <v>4</v>
      </c>
    </row>
    <row r="139" spans="1:22" ht="15" customHeight="1" x14ac:dyDescent="0.2">
      <c r="A139" t="s">
        <v>1825</v>
      </c>
      <c r="B139" t="s">
        <v>246</v>
      </c>
      <c r="C139" t="s">
        <v>1826</v>
      </c>
      <c r="D139" t="s">
        <v>1365</v>
      </c>
      <c r="E139" s="84">
        <v>28821</v>
      </c>
      <c r="F139">
        <v>296106</v>
      </c>
      <c r="G139">
        <v>79</v>
      </c>
      <c r="H139">
        <v>125771062</v>
      </c>
      <c r="I139" t="s">
        <v>1827</v>
      </c>
      <c r="J139" t="s">
        <v>1824</v>
      </c>
      <c r="K139">
        <v>0.77</v>
      </c>
      <c r="L139">
        <v>0.77500000000000002</v>
      </c>
      <c r="M139">
        <v>9</v>
      </c>
      <c r="N139">
        <v>-9.5709999999999997</v>
      </c>
      <c r="O139">
        <v>0</v>
      </c>
      <c r="P139">
        <v>4.9500000000000002E-2</v>
      </c>
      <c r="Q139">
        <v>2.2700000000000001E-2</v>
      </c>
      <c r="R139">
        <v>2.6199999999999999E-3</v>
      </c>
      <c r="S139">
        <v>0.29699999999999999</v>
      </c>
      <c r="T139">
        <v>0.80200000000000005</v>
      </c>
      <c r="U139">
        <v>116.935</v>
      </c>
      <c r="V139">
        <v>4</v>
      </c>
    </row>
    <row r="140" spans="1:22" ht="15" customHeight="1" x14ac:dyDescent="0.2">
      <c r="A140" t="s">
        <v>1034</v>
      </c>
      <c r="B140" t="s">
        <v>632</v>
      </c>
      <c r="C140" t="s">
        <v>1035</v>
      </c>
      <c r="D140" t="s">
        <v>107</v>
      </c>
      <c r="E140" s="84">
        <v>41012</v>
      </c>
      <c r="F140">
        <v>240165</v>
      </c>
      <c r="G140">
        <v>72</v>
      </c>
      <c r="H140">
        <v>125771062</v>
      </c>
      <c r="I140" t="s">
        <v>1000</v>
      </c>
      <c r="J140" t="s">
        <v>1794</v>
      </c>
      <c r="K140">
        <v>0.48299999999999998</v>
      </c>
      <c r="L140">
        <v>0.30299999999999999</v>
      </c>
      <c r="M140">
        <v>4</v>
      </c>
      <c r="N140">
        <v>-10.058</v>
      </c>
      <c r="O140">
        <v>1</v>
      </c>
      <c r="P140">
        <v>4.2900000000000001E-2</v>
      </c>
      <c r="Q140">
        <v>0.69399999999999995</v>
      </c>
      <c r="R140">
        <v>0</v>
      </c>
      <c r="S140">
        <v>0.115</v>
      </c>
      <c r="T140">
        <v>0.13900000000000001</v>
      </c>
      <c r="U140">
        <v>133.40600000000001</v>
      </c>
      <c r="V140">
        <v>3</v>
      </c>
    </row>
    <row r="141" spans="1:22" ht="15" customHeight="1" x14ac:dyDescent="0.2">
      <c r="A141" t="s">
        <v>1036</v>
      </c>
      <c r="B141" t="s">
        <v>258</v>
      </c>
      <c r="C141" t="s">
        <v>1037</v>
      </c>
      <c r="D141" t="s">
        <v>178</v>
      </c>
      <c r="E141">
        <v>1971</v>
      </c>
      <c r="F141">
        <v>155773</v>
      </c>
      <c r="G141">
        <v>71</v>
      </c>
      <c r="H141">
        <v>125771062</v>
      </c>
      <c r="I141" t="s">
        <v>1000</v>
      </c>
      <c r="J141" t="s">
        <v>1809</v>
      </c>
      <c r="K141">
        <v>0.38800000000000001</v>
      </c>
      <c r="L141">
        <v>0.17599999999999999</v>
      </c>
      <c r="M141">
        <v>9</v>
      </c>
      <c r="N141">
        <v>-16.952000000000002</v>
      </c>
      <c r="O141">
        <v>1</v>
      </c>
      <c r="P141">
        <v>2.9899999999999999E-2</v>
      </c>
      <c r="Q141">
        <v>0.91200000000000003</v>
      </c>
      <c r="R141">
        <v>3.3599999999999998E-4</v>
      </c>
      <c r="S141">
        <v>9.7699999999999995E-2</v>
      </c>
      <c r="T141">
        <v>0.34200000000000003</v>
      </c>
      <c r="U141">
        <v>97.628</v>
      </c>
      <c r="V141">
        <v>4</v>
      </c>
    </row>
    <row r="142" spans="1:22" ht="15" customHeight="1" x14ac:dyDescent="0.2">
      <c r="A142" t="s">
        <v>1038</v>
      </c>
      <c r="B142" t="s">
        <v>653</v>
      </c>
      <c r="C142" t="s">
        <v>1039</v>
      </c>
      <c r="D142" t="s">
        <v>654</v>
      </c>
      <c r="E142" s="84">
        <v>37957</v>
      </c>
      <c r="F142">
        <v>228706</v>
      </c>
      <c r="G142">
        <v>85</v>
      </c>
      <c r="H142">
        <v>125771062</v>
      </c>
      <c r="I142" t="s">
        <v>1040</v>
      </c>
      <c r="J142" t="s">
        <v>1828</v>
      </c>
      <c r="K142">
        <v>0.60899999999999999</v>
      </c>
      <c r="L142">
        <v>0.44400000000000001</v>
      </c>
      <c r="M142">
        <v>7</v>
      </c>
      <c r="N142">
        <v>-9.1289999999999996</v>
      </c>
      <c r="O142">
        <v>1</v>
      </c>
      <c r="P142">
        <v>0.106</v>
      </c>
      <c r="Q142">
        <v>0.60299999999999998</v>
      </c>
      <c r="R142">
        <v>6.8600000000000004E-6</v>
      </c>
      <c r="S142">
        <v>0.104</v>
      </c>
      <c r="T142">
        <v>0.16600000000000001</v>
      </c>
      <c r="U142">
        <v>118.402</v>
      </c>
      <c r="V142">
        <v>3</v>
      </c>
    </row>
    <row r="143" spans="1:22" ht="15" customHeight="1" x14ac:dyDescent="0.2">
      <c r="A143" t="s">
        <v>1041</v>
      </c>
      <c r="B143" t="s">
        <v>706</v>
      </c>
      <c r="C143" t="s">
        <v>1042</v>
      </c>
      <c r="D143" t="s">
        <v>1873</v>
      </c>
      <c r="E143" s="84">
        <v>35902</v>
      </c>
      <c r="F143">
        <v>130626</v>
      </c>
      <c r="G143">
        <v>14</v>
      </c>
      <c r="H143">
        <v>125771062</v>
      </c>
      <c r="I143" t="s">
        <v>1000</v>
      </c>
      <c r="J143" t="s">
        <v>1793</v>
      </c>
      <c r="K143">
        <v>0.47099999999999997</v>
      </c>
      <c r="L143">
        <v>0.38700000000000001</v>
      </c>
      <c r="M143">
        <v>9</v>
      </c>
      <c r="N143">
        <v>-9.298</v>
      </c>
      <c r="O143">
        <v>1</v>
      </c>
      <c r="P143">
        <v>3.1600000000000003E-2</v>
      </c>
      <c r="Q143">
        <v>0.26900000000000002</v>
      </c>
      <c r="R143">
        <v>0</v>
      </c>
      <c r="S143">
        <v>0.33700000000000002</v>
      </c>
      <c r="T143">
        <v>0.51200000000000001</v>
      </c>
      <c r="U143">
        <v>89.691999999999993</v>
      </c>
      <c r="V143">
        <v>4</v>
      </c>
    </row>
    <row r="144" spans="1:22" ht="15" customHeight="1" x14ac:dyDescent="0.2">
      <c r="A144" t="s">
        <v>1043</v>
      </c>
      <c r="B144" t="s">
        <v>1888</v>
      </c>
      <c r="C144" t="s">
        <v>1044</v>
      </c>
      <c r="D144" t="s">
        <v>707</v>
      </c>
      <c r="E144">
        <v>2011</v>
      </c>
      <c r="F144">
        <v>181666</v>
      </c>
      <c r="G144">
        <v>0</v>
      </c>
      <c r="H144">
        <v>125771062</v>
      </c>
      <c r="I144" t="s">
        <v>1000</v>
      </c>
      <c r="K144">
        <v>0.29099999999999998</v>
      </c>
      <c r="L144">
        <v>0.71199999999999997</v>
      </c>
      <c r="M144">
        <v>9</v>
      </c>
      <c r="N144">
        <v>-7.6369999999999996</v>
      </c>
      <c r="O144">
        <v>1</v>
      </c>
      <c r="P144">
        <v>4.7100000000000003E-2</v>
      </c>
      <c r="Q144">
        <v>3.6400000000000002E-2</v>
      </c>
      <c r="R144">
        <v>1.26E-5</v>
      </c>
      <c r="S144">
        <v>0.13600000000000001</v>
      </c>
      <c r="T144">
        <v>0.746</v>
      </c>
      <c r="U144">
        <v>190.71899999999999</v>
      </c>
      <c r="V144">
        <v>4</v>
      </c>
    </row>
    <row r="145" spans="1:22" ht="15" customHeight="1" x14ac:dyDescent="0.2">
      <c r="A145" t="s">
        <v>1045</v>
      </c>
      <c r="B145" t="s">
        <v>708</v>
      </c>
      <c r="C145" t="s">
        <v>1046</v>
      </c>
      <c r="D145" t="s">
        <v>340</v>
      </c>
      <c r="E145" s="84">
        <v>26999</v>
      </c>
      <c r="F145">
        <v>154626</v>
      </c>
      <c r="G145">
        <v>0</v>
      </c>
      <c r="H145">
        <v>125771062</v>
      </c>
      <c r="I145" t="s">
        <v>1000</v>
      </c>
      <c r="J145" t="s">
        <v>1829</v>
      </c>
      <c r="K145">
        <v>0.53600000000000003</v>
      </c>
      <c r="L145">
        <v>0.44600000000000001</v>
      </c>
      <c r="M145">
        <v>9</v>
      </c>
      <c r="N145">
        <v>-14.98</v>
      </c>
      <c r="O145">
        <v>1</v>
      </c>
      <c r="P145">
        <v>2.9000000000000001E-2</v>
      </c>
      <c r="Q145">
        <v>0.83299999999999996</v>
      </c>
      <c r="R145">
        <v>1.03E-2</v>
      </c>
      <c r="S145">
        <v>0.106</v>
      </c>
      <c r="T145">
        <v>0.70699999999999996</v>
      </c>
      <c r="U145">
        <v>133.785</v>
      </c>
      <c r="V145">
        <v>4</v>
      </c>
    </row>
    <row r="146" spans="1:22" ht="15" customHeight="1" x14ac:dyDescent="0.2">
      <c r="A146" t="s">
        <v>1047</v>
      </c>
      <c r="B146" t="s">
        <v>709</v>
      </c>
      <c r="C146" t="s">
        <v>1048</v>
      </c>
      <c r="D146" t="s">
        <v>710</v>
      </c>
      <c r="E146" s="84">
        <v>39630</v>
      </c>
      <c r="F146">
        <v>165613</v>
      </c>
      <c r="G146">
        <v>59</v>
      </c>
      <c r="H146">
        <v>125771062</v>
      </c>
      <c r="I146" t="s">
        <v>1000</v>
      </c>
      <c r="K146">
        <v>0.502</v>
      </c>
      <c r="L146">
        <v>0.77200000000000002</v>
      </c>
      <c r="M146">
        <v>0</v>
      </c>
      <c r="N146">
        <v>-6.2050000000000001</v>
      </c>
      <c r="O146">
        <v>1</v>
      </c>
      <c r="P146">
        <v>3.2199999999999999E-2</v>
      </c>
      <c r="Q146">
        <v>0.59499999999999997</v>
      </c>
      <c r="R146">
        <v>2.4700000000000001E-6</v>
      </c>
      <c r="S146">
        <v>0.19900000000000001</v>
      </c>
      <c r="T146">
        <v>0.93500000000000005</v>
      </c>
      <c r="U146">
        <v>79.462999999999994</v>
      </c>
      <c r="V146">
        <v>4</v>
      </c>
    </row>
    <row r="147" spans="1:22" ht="15" customHeight="1" x14ac:dyDescent="0.2">
      <c r="A147" t="s">
        <v>1049</v>
      </c>
      <c r="B147" t="s">
        <v>256</v>
      </c>
      <c r="C147" t="s">
        <v>884</v>
      </c>
      <c r="D147" t="s">
        <v>107</v>
      </c>
      <c r="E147" s="84">
        <v>39580</v>
      </c>
      <c r="F147">
        <v>242946</v>
      </c>
      <c r="G147">
        <v>79</v>
      </c>
      <c r="H147">
        <v>125771062</v>
      </c>
      <c r="I147" t="s">
        <v>1000</v>
      </c>
      <c r="J147" t="s">
        <v>1794</v>
      </c>
      <c r="K147">
        <v>0.70299999999999996</v>
      </c>
      <c r="L147">
        <v>0.44400000000000001</v>
      </c>
      <c r="M147">
        <v>11</v>
      </c>
      <c r="N147">
        <v>-9.3309999999999995</v>
      </c>
      <c r="O147">
        <v>1</v>
      </c>
      <c r="P147">
        <v>4.1700000000000001E-2</v>
      </c>
      <c r="Q147">
        <v>0.55900000000000005</v>
      </c>
      <c r="R147">
        <v>0</v>
      </c>
      <c r="S147">
        <v>9.7299999999999998E-2</v>
      </c>
      <c r="T147">
        <v>0.71199999999999997</v>
      </c>
      <c r="U147">
        <v>150.96</v>
      </c>
      <c r="V147">
        <v>4</v>
      </c>
    </row>
    <row r="148" spans="1:22" ht="15" customHeight="1" x14ac:dyDescent="0.2">
      <c r="A148" t="s">
        <v>1613</v>
      </c>
      <c r="B148" t="s">
        <v>1614</v>
      </c>
      <c r="C148" t="s">
        <v>1830</v>
      </c>
      <c r="D148" t="s">
        <v>673</v>
      </c>
      <c r="E148" s="84">
        <v>24079</v>
      </c>
      <c r="F148">
        <v>146333</v>
      </c>
      <c r="G148">
        <v>79</v>
      </c>
      <c r="H148">
        <v>125771062</v>
      </c>
      <c r="I148" t="s">
        <v>1615</v>
      </c>
      <c r="J148" t="s">
        <v>1781</v>
      </c>
      <c r="K148">
        <v>0.68799999999999994</v>
      </c>
      <c r="L148">
        <v>0.435</v>
      </c>
      <c r="M148">
        <v>9</v>
      </c>
      <c r="N148">
        <v>-11.359</v>
      </c>
      <c r="O148">
        <v>1</v>
      </c>
      <c r="P148">
        <v>3.2300000000000002E-2</v>
      </c>
      <c r="Q148">
        <v>0.44900000000000001</v>
      </c>
      <c r="R148">
        <v>0</v>
      </c>
      <c r="S148">
        <v>0.113</v>
      </c>
      <c r="T148">
        <v>0.435</v>
      </c>
      <c r="U148">
        <v>103.239</v>
      </c>
      <c r="V148">
        <v>4</v>
      </c>
    </row>
    <row r="149" spans="1:22" ht="15" customHeight="1" x14ac:dyDescent="0.2">
      <c r="A149" t="s">
        <v>1050</v>
      </c>
      <c r="B149" t="s">
        <v>711</v>
      </c>
      <c r="C149" t="s">
        <v>711</v>
      </c>
      <c r="D149" t="s">
        <v>611</v>
      </c>
      <c r="E149" s="84">
        <v>25569</v>
      </c>
      <c r="F149">
        <v>215800</v>
      </c>
      <c r="G149">
        <v>2</v>
      </c>
      <c r="H149">
        <v>125771062</v>
      </c>
      <c r="I149" t="s">
        <v>1000</v>
      </c>
      <c r="K149">
        <v>0.64200000000000002</v>
      </c>
      <c r="L149">
        <v>0.65</v>
      </c>
      <c r="M149">
        <v>4</v>
      </c>
      <c r="N149">
        <v>-8.5670000000000002</v>
      </c>
      <c r="O149">
        <v>1</v>
      </c>
      <c r="P149">
        <v>6.2300000000000001E-2</v>
      </c>
      <c r="Q149">
        <v>0.66</v>
      </c>
      <c r="R149">
        <v>0</v>
      </c>
      <c r="S149">
        <v>0.14000000000000001</v>
      </c>
      <c r="T149">
        <v>0.97299999999999998</v>
      </c>
      <c r="U149">
        <v>164.42099999999999</v>
      </c>
      <c r="V149">
        <v>4</v>
      </c>
    </row>
    <row r="150" spans="1:22" ht="15" customHeight="1" x14ac:dyDescent="0.2">
      <c r="A150" t="s">
        <v>1051</v>
      </c>
      <c r="B150" t="s">
        <v>712</v>
      </c>
      <c r="C150" t="s">
        <v>1052</v>
      </c>
      <c r="D150" t="s">
        <v>1889</v>
      </c>
      <c r="E150" s="84">
        <v>41414</v>
      </c>
      <c r="F150">
        <v>337560</v>
      </c>
      <c r="G150">
        <v>79</v>
      </c>
      <c r="H150">
        <v>125771062</v>
      </c>
      <c r="I150" t="s">
        <v>1000</v>
      </c>
      <c r="J150" t="s">
        <v>1814</v>
      </c>
      <c r="K150">
        <v>0.77500000000000002</v>
      </c>
      <c r="L150">
        <v>0.58499999999999996</v>
      </c>
      <c r="M150">
        <v>10</v>
      </c>
      <c r="N150">
        <v>-9.516</v>
      </c>
      <c r="O150">
        <v>0</v>
      </c>
      <c r="P150">
        <v>2.7099999999999999E-2</v>
      </c>
      <c r="Q150">
        <v>4.2200000000000001E-2</v>
      </c>
      <c r="R150">
        <v>0.61899999999999999</v>
      </c>
      <c r="S150">
        <v>7.6999999999999999E-2</v>
      </c>
      <c r="T150">
        <v>0.51800000000000002</v>
      </c>
      <c r="U150">
        <v>109.94199999999999</v>
      </c>
      <c r="V150">
        <v>4</v>
      </c>
    </row>
    <row r="151" spans="1:22" ht="15" customHeight="1" x14ac:dyDescent="0.2">
      <c r="A151" t="s">
        <v>1715</v>
      </c>
      <c r="B151" t="s">
        <v>1716</v>
      </c>
      <c r="C151" t="s">
        <v>1717</v>
      </c>
      <c r="D151" t="s">
        <v>1718</v>
      </c>
      <c r="E151">
        <v>1998</v>
      </c>
      <c r="F151">
        <v>289533</v>
      </c>
      <c r="G151">
        <v>94</v>
      </c>
      <c r="H151">
        <v>125771062</v>
      </c>
      <c r="I151" t="s">
        <v>1719</v>
      </c>
      <c r="K151">
        <v>0.315</v>
      </c>
      <c r="L151">
        <v>0.71499999999999997</v>
      </c>
      <c r="M151">
        <v>11</v>
      </c>
      <c r="N151">
        <v>-8.0719999999999992</v>
      </c>
      <c r="O151">
        <v>0</v>
      </c>
      <c r="P151">
        <v>3.6200000000000003E-2</v>
      </c>
      <c r="Q151">
        <v>1.25E-3</v>
      </c>
      <c r="R151">
        <v>7.9699999999999999E-6</v>
      </c>
      <c r="S151">
        <v>9.4200000000000006E-2</v>
      </c>
      <c r="T151">
        <v>0.497</v>
      </c>
      <c r="U151">
        <v>155.92500000000001</v>
      </c>
      <c r="V151">
        <v>3</v>
      </c>
    </row>
    <row r="152" spans="1:22" ht="15" customHeight="1" x14ac:dyDescent="0.2">
      <c r="A152" t="s">
        <v>1053</v>
      </c>
      <c r="B152" t="s">
        <v>713</v>
      </c>
      <c r="C152" t="s">
        <v>1054</v>
      </c>
      <c r="D152" t="s">
        <v>714</v>
      </c>
      <c r="E152" s="84">
        <v>32021</v>
      </c>
      <c r="F152">
        <v>246933</v>
      </c>
      <c r="G152">
        <v>70</v>
      </c>
      <c r="H152">
        <v>125771062</v>
      </c>
      <c r="I152" t="s">
        <v>1000</v>
      </c>
      <c r="J152" t="s">
        <v>1831</v>
      </c>
      <c r="K152">
        <v>0.38100000000000001</v>
      </c>
      <c r="L152">
        <v>0.89400000000000002</v>
      </c>
      <c r="M152">
        <v>7</v>
      </c>
      <c r="N152">
        <v>-8.6379999999999999</v>
      </c>
      <c r="O152">
        <v>1</v>
      </c>
      <c r="P152">
        <v>3.6999999999999998E-2</v>
      </c>
      <c r="Q152">
        <v>2.58E-2</v>
      </c>
      <c r="R152">
        <v>0</v>
      </c>
      <c r="S152">
        <v>2.5100000000000001E-2</v>
      </c>
      <c r="T152">
        <v>0.79700000000000004</v>
      </c>
      <c r="U152">
        <v>205.52799999999999</v>
      </c>
      <c r="V152">
        <v>4</v>
      </c>
    </row>
    <row r="153" spans="1:22" ht="15" customHeight="1" x14ac:dyDescent="0.2">
      <c r="A153" t="s">
        <v>1346</v>
      </c>
      <c r="B153" t="s">
        <v>1345</v>
      </c>
      <c r="C153" t="s">
        <v>820</v>
      </c>
      <c r="D153" t="s">
        <v>104</v>
      </c>
      <c r="E153">
        <v>2007</v>
      </c>
      <c r="F153">
        <v>148232</v>
      </c>
      <c r="G153">
        <v>38</v>
      </c>
      <c r="H153">
        <v>125771062</v>
      </c>
      <c r="I153" t="s">
        <v>1347</v>
      </c>
      <c r="J153" t="s">
        <v>1782</v>
      </c>
      <c r="K153">
        <v>0.66400000000000003</v>
      </c>
      <c r="L153">
        <v>0.66400000000000003</v>
      </c>
      <c r="M153">
        <v>10</v>
      </c>
      <c r="N153">
        <v>-6.8019999999999996</v>
      </c>
      <c r="O153">
        <v>0</v>
      </c>
      <c r="P153">
        <v>6.9400000000000003E-2</v>
      </c>
      <c r="Q153">
        <v>0.32200000000000001</v>
      </c>
      <c r="R153">
        <v>3.6399999999999999E-6</v>
      </c>
      <c r="S153">
        <v>7.5999999999999998E-2</v>
      </c>
      <c r="T153">
        <v>0.88300000000000001</v>
      </c>
      <c r="U153">
        <v>166.85</v>
      </c>
      <c r="V153">
        <v>4</v>
      </c>
    </row>
    <row r="154" spans="1:22" ht="15" customHeight="1" x14ac:dyDescent="0.2">
      <c r="A154" t="s">
        <v>1055</v>
      </c>
      <c r="B154" t="s">
        <v>1720</v>
      </c>
      <c r="C154" t="s">
        <v>851</v>
      </c>
      <c r="D154" t="s">
        <v>25</v>
      </c>
      <c r="E154" s="84">
        <v>40673</v>
      </c>
      <c r="F154">
        <v>246587</v>
      </c>
      <c r="G154">
        <v>75</v>
      </c>
      <c r="H154">
        <v>125771062</v>
      </c>
      <c r="I154" t="s">
        <v>1000</v>
      </c>
      <c r="J154" t="s">
        <v>1783</v>
      </c>
      <c r="K154">
        <v>0.34899999999999998</v>
      </c>
      <c r="L154">
        <v>0.34799999999999998</v>
      </c>
      <c r="M154">
        <v>3</v>
      </c>
      <c r="N154">
        <v>-6.1420000000000003</v>
      </c>
      <c r="O154">
        <v>1</v>
      </c>
      <c r="P154">
        <v>3.1600000000000003E-2</v>
      </c>
      <c r="Q154">
        <v>0.72599999999999998</v>
      </c>
      <c r="R154">
        <v>0</v>
      </c>
      <c r="S154">
        <v>0.12</v>
      </c>
      <c r="T154">
        <v>8.8599999999999998E-2</v>
      </c>
      <c r="U154">
        <v>74.540999999999997</v>
      </c>
      <c r="V154">
        <v>4</v>
      </c>
    </row>
    <row r="155" spans="1:22" ht="15" customHeight="1" x14ac:dyDescent="0.2">
      <c r="A155" t="s">
        <v>1056</v>
      </c>
      <c r="B155" t="s">
        <v>715</v>
      </c>
      <c r="C155" t="s">
        <v>1057</v>
      </c>
      <c r="D155" t="s">
        <v>660</v>
      </c>
      <c r="E155" s="84">
        <v>21732</v>
      </c>
      <c r="F155">
        <v>161560</v>
      </c>
      <c r="G155">
        <v>77</v>
      </c>
      <c r="H155">
        <v>125771062</v>
      </c>
      <c r="I155" t="s">
        <v>1058</v>
      </c>
      <c r="J155" t="s">
        <v>1782</v>
      </c>
      <c r="K155">
        <v>0.53400000000000003</v>
      </c>
      <c r="L155">
        <v>0.80300000000000005</v>
      </c>
      <c r="M155">
        <v>10</v>
      </c>
      <c r="N155">
        <v>-9.1289999999999996</v>
      </c>
      <c r="O155">
        <v>1</v>
      </c>
      <c r="P155">
        <v>7.4300000000000005E-2</v>
      </c>
      <c r="Q155">
        <v>0.74099999999999999</v>
      </c>
      <c r="R155">
        <v>6.0699999999999998E-5</v>
      </c>
      <c r="S155">
        <v>0.307</v>
      </c>
      <c r="T155">
        <v>0.96899999999999997</v>
      </c>
      <c r="U155">
        <v>167.983</v>
      </c>
      <c r="V155">
        <v>4</v>
      </c>
    </row>
    <row r="156" spans="1:22" ht="15" customHeight="1" x14ac:dyDescent="0.2">
      <c r="A156" t="s">
        <v>1059</v>
      </c>
      <c r="B156" t="s">
        <v>263</v>
      </c>
      <c r="C156" t="s">
        <v>263</v>
      </c>
      <c r="D156" t="s">
        <v>264</v>
      </c>
      <c r="E156" s="84">
        <v>27064</v>
      </c>
      <c r="F156">
        <v>163275</v>
      </c>
      <c r="G156">
        <v>74</v>
      </c>
      <c r="H156">
        <v>125771062</v>
      </c>
      <c r="I156" t="s">
        <v>1000</v>
      </c>
      <c r="J156" t="s">
        <v>1832</v>
      </c>
      <c r="K156">
        <v>0.67400000000000004</v>
      </c>
      <c r="L156">
        <v>0.53700000000000003</v>
      </c>
      <c r="M156">
        <v>1</v>
      </c>
      <c r="N156">
        <v>-10.971</v>
      </c>
      <c r="O156">
        <v>0</v>
      </c>
      <c r="P156">
        <v>3.6299999999999999E-2</v>
      </c>
      <c r="Q156">
        <v>0.56599999999999995</v>
      </c>
      <c r="R156">
        <v>0</v>
      </c>
      <c r="S156">
        <v>0.13100000000000001</v>
      </c>
      <c r="T156">
        <v>0.80900000000000005</v>
      </c>
      <c r="U156">
        <v>110.578</v>
      </c>
      <c r="V156">
        <v>4</v>
      </c>
    </row>
    <row r="157" spans="1:22" ht="15" customHeight="1" x14ac:dyDescent="0.2">
      <c r="A157" t="s">
        <v>1060</v>
      </c>
      <c r="B157" t="s">
        <v>716</v>
      </c>
      <c r="C157" t="s">
        <v>1061</v>
      </c>
      <c r="D157" t="s">
        <v>1890</v>
      </c>
      <c r="E157" s="84">
        <v>41170</v>
      </c>
      <c r="F157">
        <v>242721</v>
      </c>
      <c r="G157">
        <v>87</v>
      </c>
      <c r="H157">
        <v>125771062</v>
      </c>
      <c r="I157" t="s">
        <v>1000</v>
      </c>
      <c r="K157">
        <v>0.77800000000000002</v>
      </c>
      <c r="L157">
        <v>0.54700000000000004</v>
      </c>
      <c r="M157">
        <v>2</v>
      </c>
      <c r="N157">
        <v>-7.2729999999999997</v>
      </c>
      <c r="O157">
        <v>1</v>
      </c>
      <c r="P157">
        <v>4.8899999999999999E-2</v>
      </c>
      <c r="Q157">
        <v>0.34399999999999997</v>
      </c>
      <c r="R157">
        <v>3.0600000000000001E-4</v>
      </c>
      <c r="S157">
        <v>0.13200000000000001</v>
      </c>
      <c r="T157">
        <v>0.442</v>
      </c>
      <c r="U157">
        <v>95</v>
      </c>
      <c r="V157">
        <v>4</v>
      </c>
    </row>
    <row r="158" spans="1:22" ht="15" customHeight="1" x14ac:dyDescent="0.2">
      <c r="A158" t="s">
        <v>1928</v>
      </c>
      <c r="B158" t="s">
        <v>1949</v>
      </c>
      <c r="C158" t="s">
        <v>1950</v>
      </c>
      <c r="D158" t="s">
        <v>1930</v>
      </c>
      <c r="E158" s="84">
        <v>31923</v>
      </c>
      <c r="F158">
        <v>212013</v>
      </c>
      <c r="G158">
        <v>72</v>
      </c>
      <c r="H158">
        <v>125771062</v>
      </c>
      <c r="I158" t="s">
        <v>1931</v>
      </c>
      <c r="J158" t="s">
        <v>1932</v>
      </c>
      <c r="K158">
        <v>0.437</v>
      </c>
      <c r="L158">
        <v>0.94</v>
      </c>
      <c r="M158">
        <v>9</v>
      </c>
      <c r="N158">
        <v>-6.9459999999999997</v>
      </c>
      <c r="O158">
        <v>1</v>
      </c>
      <c r="P158">
        <v>4.2599999999999999E-2</v>
      </c>
      <c r="Q158">
        <v>5.2400000000000002E-2</v>
      </c>
      <c r="R158">
        <v>5.7300000000000005E-4</v>
      </c>
      <c r="S158">
        <v>0.222</v>
      </c>
      <c r="T158">
        <v>0.48</v>
      </c>
      <c r="U158">
        <v>151.417</v>
      </c>
      <c r="V158">
        <v>4</v>
      </c>
    </row>
    <row r="159" spans="1:22" ht="15" customHeight="1" x14ac:dyDescent="0.2">
      <c r="A159" t="s">
        <v>1353</v>
      </c>
      <c r="B159" t="s">
        <v>267</v>
      </c>
      <c r="C159" t="s">
        <v>267</v>
      </c>
      <c r="D159" t="s">
        <v>1891</v>
      </c>
      <c r="E159" s="84">
        <v>40499</v>
      </c>
      <c r="F159">
        <v>301026</v>
      </c>
      <c r="G159">
        <v>47</v>
      </c>
      <c r="H159">
        <v>125771062</v>
      </c>
      <c r="I159" t="s">
        <v>1354</v>
      </c>
      <c r="J159" t="s">
        <v>1951</v>
      </c>
      <c r="K159">
        <v>0.70699999999999996</v>
      </c>
      <c r="L159">
        <v>0.315</v>
      </c>
      <c r="M159">
        <v>8</v>
      </c>
      <c r="N159">
        <v>-6.633</v>
      </c>
      <c r="O159">
        <v>1</v>
      </c>
      <c r="P159">
        <v>5.0500000000000003E-2</v>
      </c>
      <c r="Q159">
        <v>0.91100000000000003</v>
      </c>
      <c r="R159">
        <v>1.3499999999999999E-5</v>
      </c>
      <c r="S159">
        <v>0.112</v>
      </c>
      <c r="T159">
        <v>0.496</v>
      </c>
      <c r="U159">
        <v>95.504999999999995</v>
      </c>
      <c r="V159">
        <v>4</v>
      </c>
    </row>
    <row r="160" spans="1:22" ht="15" customHeight="1" x14ac:dyDescent="0.2">
      <c r="A160" t="s">
        <v>1355</v>
      </c>
      <c r="B160" t="s">
        <v>1356</v>
      </c>
      <c r="C160" t="s">
        <v>915</v>
      </c>
      <c r="D160" t="s">
        <v>126</v>
      </c>
      <c r="E160" s="84">
        <v>40309</v>
      </c>
      <c r="F160">
        <v>220734</v>
      </c>
      <c r="G160">
        <v>88</v>
      </c>
      <c r="H160">
        <v>125771062</v>
      </c>
      <c r="I160" t="s">
        <v>1357</v>
      </c>
      <c r="K160">
        <v>0.63500000000000001</v>
      </c>
      <c r="L160">
        <v>0.84099999999999997</v>
      </c>
      <c r="M160">
        <v>5</v>
      </c>
      <c r="N160">
        <v>-5.3789999999999996</v>
      </c>
      <c r="O160">
        <v>1</v>
      </c>
      <c r="P160">
        <v>4.2200000000000001E-2</v>
      </c>
      <c r="Q160">
        <v>1.34E-2</v>
      </c>
      <c r="R160">
        <v>0</v>
      </c>
      <c r="S160">
        <v>6.2199999999999998E-2</v>
      </c>
      <c r="T160">
        <v>0.42399999999999999</v>
      </c>
      <c r="U160">
        <v>109.021</v>
      </c>
      <c r="V160">
        <v>4</v>
      </c>
    </row>
    <row r="161" spans="1:22" ht="15" customHeight="1" x14ac:dyDescent="0.2">
      <c r="A161" t="s">
        <v>1062</v>
      </c>
      <c r="B161" t="s">
        <v>269</v>
      </c>
      <c r="C161" t="s">
        <v>1063</v>
      </c>
      <c r="D161" t="s">
        <v>270</v>
      </c>
      <c r="E161" s="84">
        <v>34700</v>
      </c>
      <c r="F161">
        <v>223800</v>
      </c>
      <c r="G161">
        <v>36</v>
      </c>
      <c r="H161">
        <v>125771062</v>
      </c>
      <c r="I161" t="s">
        <v>1000</v>
      </c>
      <c r="K161">
        <v>0.50900000000000001</v>
      </c>
      <c r="L161">
        <v>2.23E-2</v>
      </c>
      <c r="M161">
        <v>5</v>
      </c>
      <c r="N161">
        <v>-24.684000000000001</v>
      </c>
      <c r="O161">
        <v>0</v>
      </c>
      <c r="P161">
        <v>3.6900000000000002E-2</v>
      </c>
      <c r="Q161">
        <v>0.96899999999999997</v>
      </c>
      <c r="R161">
        <v>0</v>
      </c>
      <c r="S161">
        <v>0.112</v>
      </c>
      <c r="T161">
        <v>0.25900000000000001</v>
      </c>
      <c r="U161">
        <v>100.248</v>
      </c>
      <c r="V161">
        <v>4</v>
      </c>
    </row>
    <row r="162" spans="1:22" ht="15" customHeight="1" x14ac:dyDescent="0.2">
      <c r="A162" t="s">
        <v>1064</v>
      </c>
      <c r="B162" t="s">
        <v>271</v>
      </c>
      <c r="C162" t="s">
        <v>272</v>
      </c>
      <c r="D162" t="s">
        <v>272</v>
      </c>
      <c r="E162" s="84">
        <v>35756</v>
      </c>
      <c r="F162">
        <v>208680</v>
      </c>
      <c r="G162">
        <v>86</v>
      </c>
      <c r="H162">
        <v>125771062</v>
      </c>
      <c r="I162" t="s">
        <v>1000</v>
      </c>
      <c r="K162">
        <v>0.52600000000000002</v>
      </c>
      <c r="L162">
        <v>0.749</v>
      </c>
      <c r="M162">
        <v>3</v>
      </c>
      <c r="N162">
        <v>-6.9640000000000004</v>
      </c>
      <c r="O162">
        <v>1</v>
      </c>
      <c r="P162">
        <v>2.8299999999999999E-2</v>
      </c>
      <c r="Q162">
        <v>2.3E-2</v>
      </c>
      <c r="R162">
        <v>1.7600000000000001E-6</v>
      </c>
      <c r="S162">
        <v>6.9199999999999998E-2</v>
      </c>
      <c r="T162">
        <v>0.42099999999999999</v>
      </c>
      <c r="U162">
        <v>99.981999999999999</v>
      </c>
      <c r="V162">
        <v>4</v>
      </c>
    </row>
    <row r="163" spans="1:22" ht="15" customHeight="1" x14ac:dyDescent="0.2">
      <c r="A163" t="s">
        <v>1065</v>
      </c>
      <c r="B163" t="s">
        <v>629</v>
      </c>
      <c r="C163" t="s">
        <v>1329</v>
      </c>
      <c r="D163" t="s">
        <v>630</v>
      </c>
      <c r="E163" s="84">
        <v>31593</v>
      </c>
      <c r="F163">
        <v>242733</v>
      </c>
      <c r="G163">
        <v>78</v>
      </c>
      <c r="H163">
        <v>125771062</v>
      </c>
      <c r="I163" t="s">
        <v>1000</v>
      </c>
      <c r="K163">
        <v>0.72399999999999998</v>
      </c>
      <c r="L163">
        <v>0.82199999999999995</v>
      </c>
      <c r="M163">
        <v>1</v>
      </c>
      <c r="N163">
        <v>-4.3739999999999997</v>
      </c>
      <c r="O163">
        <v>0</v>
      </c>
      <c r="P163">
        <v>3.3300000000000003E-2</v>
      </c>
      <c r="Q163">
        <v>0.30399999999999999</v>
      </c>
      <c r="R163">
        <v>1.38E-5</v>
      </c>
      <c r="S163">
        <v>5.5300000000000002E-2</v>
      </c>
      <c r="T163">
        <v>0.96399999999999997</v>
      </c>
      <c r="U163">
        <v>99.9</v>
      </c>
      <c r="V163">
        <v>4</v>
      </c>
    </row>
    <row r="164" spans="1:22" ht="15" customHeight="1" x14ac:dyDescent="0.2">
      <c r="A164" t="s">
        <v>1066</v>
      </c>
      <c r="B164" t="s">
        <v>717</v>
      </c>
      <c r="C164" t="s">
        <v>1067</v>
      </c>
      <c r="D164" t="s">
        <v>274</v>
      </c>
      <c r="E164" s="84">
        <v>42370</v>
      </c>
      <c r="F164">
        <v>205346</v>
      </c>
      <c r="G164">
        <v>48</v>
      </c>
      <c r="H164">
        <v>125771062</v>
      </c>
      <c r="I164" t="s">
        <v>1000</v>
      </c>
      <c r="J164" t="s">
        <v>1952</v>
      </c>
      <c r="K164">
        <v>0.57999999999999996</v>
      </c>
      <c r="L164">
        <v>7.2700000000000001E-2</v>
      </c>
      <c r="M164">
        <v>0</v>
      </c>
      <c r="N164">
        <v>-12.082000000000001</v>
      </c>
      <c r="O164">
        <v>1</v>
      </c>
      <c r="P164">
        <v>5.5100000000000003E-2</v>
      </c>
      <c r="Q164">
        <v>0.89400000000000002</v>
      </c>
      <c r="R164">
        <v>1.2199999999999999E-3</v>
      </c>
      <c r="S164">
        <v>6.2799999999999995E-2</v>
      </c>
      <c r="T164">
        <v>0.311</v>
      </c>
      <c r="U164">
        <v>70.643000000000001</v>
      </c>
      <c r="V164">
        <v>4</v>
      </c>
    </row>
    <row r="165" spans="1:22" ht="15" customHeight="1" x14ac:dyDescent="0.2">
      <c r="A165" t="s">
        <v>1068</v>
      </c>
      <c r="B165" t="s">
        <v>718</v>
      </c>
      <c r="C165" t="s">
        <v>1069</v>
      </c>
      <c r="D165" t="s">
        <v>53</v>
      </c>
      <c r="E165" s="84">
        <v>25490</v>
      </c>
      <c r="F165">
        <v>217026</v>
      </c>
      <c r="G165">
        <v>51</v>
      </c>
      <c r="H165">
        <v>125771062</v>
      </c>
      <c r="I165" t="s">
        <v>1000</v>
      </c>
      <c r="J165" t="s">
        <v>1786</v>
      </c>
      <c r="K165">
        <v>0.48599999999999999</v>
      </c>
      <c r="L165">
        <v>0.27900000000000003</v>
      </c>
      <c r="M165">
        <v>7</v>
      </c>
      <c r="N165">
        <v>-12.263</v>
      </c>
      <c r="O165">
        <v>1</v>
      </c>
      <c r="P165">
        <v>3.0700000000000002E-2</v>
      </c>
      <c r="Q165">
        <v>0.67600000000000005</v>
      </c>
      <c r="R165">
        <v>0</v>
      </c>
      <c r="S165">
        <v>0.14099999999999999</v>
      </c>
      <c r="T165">
        <v>0.46899999999999997</v>
      </c>
      <c r="U165">
        <v>132.93899999999999</v>
      </c>
      <c r="V165">
        <v>4</v>
      </c>
    </row>
    <row r="166" spans="1:22" ht="15" customHeight="1" x14ac:dyDescent="0.2">
      <c r="A166" t="s">
        <v>1070</v>
      </c>
      <c r="B166" t="s">
        <v>279</v>
      </c>
      <c r="C166" t="s">
        <v>1071</v>
      </c>
      <c r="D166" t="s">
        <v>719</v>
      </c>
      <c r="E166" s="84">
        <v>34700</v>
      </c>
      <c r="F166">
        <v>191026</v>
      </c>
      <c r="G166">
        <v>3</v>
      </c>
      <c r="H166">
        <v>125771062</v>
      </c>
      <c r="I166" t="s">
        <v>1000</v>
      </c>
      <c r="K166">
        <v>0.66300000000000003</v>
      </c>
      <c r="L166">
        <v>0.47499999999999998</v>
      </c>
      <c r="M166">
        <v>1</v>
      </c>
      <c r="N166">
        <v>-8.8339999999999996</v>
      </c>
      <c r="O166">
        <v>1</v>
      </c>
      <c r="P166">
        <v>4.1700000000000001E-2</v>
      </c>
      <c r="Q166">
        <v>0.64300000000000002</v>
      </c>
      <c r="R166">
        <v>0</v>
      </c>
      <c r="S166">
        <v>0.122</v>
      </c>
      <c r="T166">
        <v>0.64400000000000002</v>
      </c>
      <c r="U166">
        <v>143.17500000000001</v>
      </c>
      <c r="V166">
        <v>4</v>
      </c>
    </row>
    <row r="167" spans="1:22" ht="15" customHeight="1" x14ac:dyDescent="0.2">
      <c r="A167" t="s">
        <v>1072</v>
      </c>
      <c r="B167" t="s">
        <v>281</v>
      </c>
      <c r="C167" t="s">
        <v>1073</v>
      </c>
      <c r="D167" t="s">
        <v>282</v>
      </c>
      <c r="E167" s="84">
        <v>41149</v>
      </c>
      <c r="F167">
        <v>252733</v>
      </c>
      <c r="G167">
        <v>76</v>
      </c>
      <c r="H167">
        <v>125771062</v>
      </c>
      <c r="I167" t="s">
        <v>1000</v>
      </c>
      <c r="J167" t="s">
        <v>1834</v>
      </c>
      <c r="K167">
        <v>0.47899999999999998</v>
      </c>
      <c r="L167">
        <v>0.54500000000000004</v>
      </c>
      <c r="M167">
        <v>7</v>
      </c>
      <c r="N167">
        <v>-7.3460000000000001</v>
      </c>
      <c r="O167">
        <v>1</v>
      </c>
      <c r="P167">
        <v>6.88E-2</v>
      </c>
      <c r="Q167">
        <v>0.36499999999999999</v>
      </c>
      <c r="R167">
        <v>0</v>
      </c>
      <c r="S167">
        <v>9.6299999999999997E-2</v>
      </c>
      <c r="T167">
        <v>0.24299999999999999</v>
      </c>
      <c r="U167">
        <v>74.897000000000006</v>
      </c>
      <c r="V167">
        <v>4</v>
      </c>
    </row>
    <row r="168" spans="1:22" ht="15" customHeight="1" x14ac:dyDescent="0.2">
      <c r="A168" t="s">
        <v>1721</v>
      </c>
      <c r="B168" t="s">
        <v>1722</v>
      </c>
      <c r="C168" t="s">
        <v>1723</v>
      </c>
      <c r="D168" t="s">
        <v>1591</v>
      </c>
      <c r="E168" s="84">
        <v>43917</v>
      </c>
      <c r="F168">
        <v>203807</v>
      </c>
      <c r="G168">
        <v>82</v>
      </c>
      <c r="H168">
        <v>125771062</v>
      </c>
      <c r="I168" t="s">
        <v>1724</v>
      </c>
      <c r="J168" t="s">
        <v>793</v>
      </c>
      <c r="K168">
        <v>0.69499999999999995</v>
      </c>
      <c r="L168">
        <v>0.88400000000000001</v>
      </c>
      <c r="M168">
        <v>6</v>
      </c>
      <c r="N168">
        <v>-2.278</v>
      </c>
      <c r="O168">
        <v>0</v>
      </c>
      <c r="P168">
        <v>7.5300000000000006E-2</v>
      </c>
      <c r="Q168">
        <v>5.6099999999999997E-2</v>
      </c>
      <c r="R168">
        <v>0</v>
      </c>
      <c r="S168">
        <v>0.21299999999999999</v>
      </c>
      <c r="T168">
        <v>0.91400000000000003</v>
      </c>
      <c r="U168">
        <v>103.014</v>
      </c>
      <c r="V168">
        <v>4</v>
      </c>
    </row>
    <row r="169" spans="1:22" ht="15" customHeight="1" x14ac:dyDescent="0.2">
      <c r="A169" t="s">
        <v>1074</v>
      </c>
      <c r="B169" t="s">
        <v>720</v>
      </c>
      <c r="C169" t="s">
        <v>836</v>
      </c>
      <c r="D169" t="s">
        <v>1892</v>
      </c>
      <c r="E169" s="84">
        <v>42016</v>
      </c>
      <c r="F169">
        <v>225635</v>
      </c>
      <c r="G169">
        <v>74</v>
      </c>
      <c r="H169">
        <v>125771062</v>
      </c>
      <c r="I169" t="s">
        <v>1000</v>
      </c>
      <c r="J169" t="s">
        <v>1835</v>
      </c>
      <c r="K169">
        <v>0.63</v>
      </c>
      <c r="L169">
        <v>0.53</v>
      </c>
      <c r="M169">
        <v>0</v>
      </c>
      <c r="N169">
        <v>-7.2590000000000003</v>
      </c>
      <c r="O169">
        <v>1</v>
      </c>
      <c r="P169">
        <v>4.3400000000000001E-2</v>
      </c>
      <c r="Q169">
        <v>0.4</v>
      </c>
      <c r="R169">
        <v>0</v>
      </c>
      <c r="S169">
        <v>0.17699999999999999</v>
      </c>
      <c r="T169">
        <v>0.41699999999999998</v>
      </c>
      <c r="U169">
        <v>108.038</v>
      </c>
      <c r="V169">
        <v>3</v>
      </c>
    </row>
    <row r="170" spans="1:22" ht="15" customHeight="1" x14ac:dyDescent="0.2">
      <c r="A170" t="s">
        <v>1075</v>
      </c>
      <c r="B170" t="s">
        <v>1893</v>
      </c>
      <c r="C170" t="s">
        <v>1076</v>
      </c>
      <c r="D170" t="s">
        <v>64</v>
      </c>
      <c r="E170" s="84">
        <v>33841</v>
      </c>
      <c r="F170">
        <v>327760</v>
      </c>
      <c r="G170">
        <v>0</v>
      </c>
      <c r="H170">
        <v>125771062</v>
      </c>
      <c r="I170" t="s">
        <v>1077</v>
      </c>
      <c r="J170" t="s">
        <v>1833</v>
      </c>
      <c r="K170">
        <v>0.73899999999999999</v>
      </c>
      <c r="L170">
        <v>0.47299999999999998</v>
      </c>
      <c r="M170">
        <v>4</v>
      </c>
      <c r="N170">
        <v>-12.629</v>
      </c>
      <c r="O170">
        <v>1</v>
      </c>
      <c r="P170">
        <v>3.2199999999999999E-2</v>
      </c>
      <c r="Q170">
        <v>0.52400000000000002</v>
      </c>
      <c r="R170">
        <v>5.3400000000000001E-3</v>
      </c>
      <c r="S170">
        <v>0.95799999999999996</v>
      </c>
      <c r="T170">
        <v>0.58699999999999997</v>
      </c>
      <c r="U170">
        <v>75.287999999999997</v>
      </c>
      <c r="V170">
        <v>4</v>
      </c>
    </row>
    <row r="171" spans="1:22" ht="15" customHeight="1" x14ac:dyDescent="0.2">
      <c r="A171" t="s">
        <v>1078</v>
      </c>
      <c r="B171" t="s">
        <v>286</v>
      </c>
      <c r="C171" t="s">
        <v>1079</v>
      </c>
      <c r="D171" t="s">
        <v>287</v>
      </c>
      <c r="E171" s="84">
        <v>39972</v>
      </c>
      <c r="F171">
        <v>232666</v>
      </c>
      <c r="G171">
        <v>4</v>
      </c>
      <c r="H171">
        <v>125771062</v>
      </c>
      <c r="I171" t="s">
        <v>1000</v>
      </c>
      <c r="K171">
        <v>0.68500000000000005</v>
      </c>
      <c r="L171">
        <v>0.42399999999999999</v>
      </c>
      <c r="M171">
        <v>2</v>
      </c>
      <c r="N171">
        <v>-9.6159999999999997</v>
      </c>
      <c r="O171">
        <v>1</v>
      </c>
      <c r="P171">
        <v>2.8899999999999999E-2</v>
      </c>
      <c r="Q171">
        <v>0.59099999999999997</v>
      </c>
      <c r="R171">
        <v>0</v>
      </c>
      <c r="S171">
        <v>0.128</v>
      </c>
      <c r="T171">
        <v>0.63800000000000001</v>
      </c>
      <c r="U171">
        <v>100.30800000000001</v>
      </c>
      <c r="V171">
        <v>4</v>
      </c>
    </row>
    <row r="172" spans="1:22" ht="15" customHeight="1" x14ac:dyDescent="0.2">
      <c r="A172" t="s">
        <v>1080</v>
      </c>
      <c r="B172" t="s">
        <v>721</v>
      </c>
      <c r="C172" t="s">
        <v>1081</v>
      </c>
      <c r="D172" t="s">
        <v>722</v>
      </c>
      <c r="E172">
        <v>1973</v>
      </c>
      <c r="F172">
        <v>207266</v>
      </c>
      <c r="G172">
        <v>77</v>
      </c>
      <c r="H172">
        <v>125771062</v>
      </c>
      <c r="I172" t="s">
        <v>1000</v>
      </c>
      <c r="J172" t="s">
        <v>1836</v>
      </c>
      <c r="K172">
        <v>0.57499999999999996</v>
      </c>
      <c r="L172">
        <v>0.91200000000000003</v>
      </c>
      <c r="M172">
        <v>7</v>
      </c>
      <c r="N172">
        <v>-7.2750000000000004</v>
      </c>
      <c r="O172">
        <v>0</v>
      </c>
      <c r="P172">
        <v>3.9300000000000002E-2</v>
      </c>
      <c r="Q172">
        <v>9.1600000000000001E-2</v>
      </c>
      <c r="R172">
        <v>2.1099999999999999E-3</v>
      </c>
      <c r="S172">
        <v>5.62E-2</v>
      </c>
      <c r="T172">
        <v>0.84299999999999997</v>
      </c>
      <c r="U172">
        <v>117.399</v>
      </c>
      <c r="V172">
        <v>4</v>
      </c>
    </row>
    <row r="173" spans="1:22" ht="15" customHeight="1" x14ac:dyDescent="0.2">
      <c r="A173" t="s">
        <v>1082</v>
      </c>
      <c r="B173" t="s">
        <v>291</v>
      </c>
      <c r="C173" t="s">
        <v>1083</v>
      </c>
      <c r="D173" t="s">
        <v>714</v>
      </c>
      <c r="E173" s="84">
        <v>33309</v>
      </c>
      <c r="F173">
        <v>268426</v>
      </c>
      <c r="G173">
        <v>88</v>
      </c>
      <c r="H173">
        <v>125771062</v>
      </c>
      <c r="I173" t="s">
        <v>1000</v>
      </c>
      <c r="J173" t="s">
        <v>1831</v>
      </c>
      <c r="K173">
        <v>0.66600000000000004</v>
      </c>
      <c r="L173">
        <v>0.85499999999999998</v>
      </c>
      <c r="M173">
        <v>9</v>
      </c>
      <c r="N173">
        <v>-5.0510000000000002</v>
      </c>
      <c r="O173">
        <v>0</v>
      </c>
      <c r="P173">
        <v>2.9499999999999998E-2</v>
      </c>
      <c r="Q173">
        <v>0.17899999999999999</v>
      </c>
      <c r="R173">
        <v>1.1999999999999999E-6</v>
      </c>
      <c r="S173">
        <v>9.8699999999999996E-2</v>
      </c>
      <c r="T173">
        <v>0.80300000000000005</v>
      </c>
      <c r="U173">
        <v>125.639</v>
      </c>
      <c r="V173">
        <v>4</v>
      </c>
    </row>
    <row r="174" spans="1:22" ht="15" customHeight="1" x14ac:dyDescent="0.2">
      <c r="A174" t="s">
        <v>1084</v>
      </c>
      <c r="B174" t="s">
        <v>723</v>
      </c>
      <c r="C174" t="s">
        <v>723</v>
      </c>
      <c r="D174" t="s">
        <v>554</v>
      </c>
      <c r="E174" s="84">
        <v>42860</v>
      </c>
      <c r="F174">
        <v>268105</v>
      </c>
      <c r="G174">
        <v>3</v>
      </c>
      <c r="H174">
        <v>125771062</v>
      </c>
      <c r="I174" t="s">
        <v>1000</v>
      </c>
      <c r="K174">
        <v>0.433</v>
      </c>
      <c r="L174">
        <v>0.72399999999999998</v>
      </c>
      <c r="M174">
        <v>5</v>
      </c>
      <c r="N174">
        <v>-6.1260000000000003</v>
      </c>
      <c r="O174">
        <v>0</v>
      </c>
      <c r="P174">
        <v>3.7199999999999997E-2</v>
      </c>
      <c r="Q174">
        <v>0.1</v>
      </c>
      <c r="R174">
        <v>0</v>
      </c>
      <c r="S174">
        <v>9.1800000000000007E-2</v>
      </c>
      <c r="T174">
        <v>0.68899999999999995</v>
      </c>
      <c r="U174">
        <v>174.006</v>
      </c>
      <c r="V174">
        <v>4</v>
      </c>
    </row>
    <row r="175" spans="1:22" ht="15" customHeight="1" x14ac:dyDescent="0.2">
      <c r="A175" t="s">
        <v>1626</v>
      </c>
      <c r="B175" t="s">
        <v>1623</v>
      </c>
      <c r="C175" t="s">
        <v>1627</v>
      </c>
      <c r="D175" t="s">
        <v>1624</v>
      </c>
      <c r="E175" s="84">
        <v>39763</v>
      </c>
      <c r="F175">
        <v>235266</v>
      </c>
      <c r="G175">
        <v>68</v>
      </c>
      <c r="H175">
        <v>125771062</v>
      </c>
      <c r="I175" t="s">
        <v>1628</v>
      </c>
      <c r="K175">
        <v>0.61799999999999999</v>
      </c>
      <c r="L175">
        <v>0.74099999999999999</v>
      </c>
      <c r="M175">
        <v>2</v>
      </c>
      <c r="N175">
        <v>-3.95</v>
      </c>
      <c r="O175">
        <v>1</v>
      </c>
      <c r="P175">
        <v>3.1E-2</v>
      </c>
      <c r="Q175">
        <v>0.17</v>
      </c>
      <c r="R175">
        <v>0</v>
      </c>
      <c r="S175">
        <v>8.2199999999999995E-2</v>
      </c>
      <c r="T175">
        <v>0.29599999999999999</v>
      </c>
      <c r="U175">
        <v>118.98399999999999</v>
      </c>
      <c r="V175">
        <v>4</v>
      </c>
    </row>
    <row r="176" spans="1:22" ht="15" customHeight="1" x14ac:dyDescent="0.2">
      <c r="A176" t="s">
        <v>1085</v>
      </c>
      <c r="B176" t="s">
        <v>656</v>
      </c>
      <c r="C176" t="s">
        <v>1086</v>
      </c>
      <c r="D176" t="s">
        <v>724</v>
      </c>
      <c r="E176" s="84">
        <v>40544</v>
      </c>
      <c r="F176">
        <v>188453</v>
      </c>
      <c r="G176">
        <v>86</v>
      </c>
      <c r="H176">
        <v>125771062</v>
      </c>
      <c r="I176" t="s">
        <v>1087</v>
      </c>
      <c r="K176">
        <v>0.85799999999999998</v>
      </c>
      <c r="L176">
        <v>0.67800000000000005</v>
      </c>
      <c r="M176">
        <v>1</v>
      </c>
      <c r="N176">
        <v>-3.87</v>
      </c>
      <c r="O176">
        <v>0</v>
      </c>
      <c r="P176">
        <v>4.6899999999999997E-2</v>
      </c>
      <c r="Q176">
        <v>7.6100000000000001E-2</v>
      </c>
      <c r="R176">
        <v>0</v>
      </c>
      <c r="S176">
        <v>7.4099999999999999E-2</v>
      </c>
      <c r="T176">
        <v>0.92200000000000004</v>
      </c>
      <c r="U176">
        <v>117.009</v>
      </c>
      <c r="V176">
        <v>4</v>
      </c>
    </row>
    <row r="177" spans="1:22" ht="15" customHeight="1" x14ac:dyDescent="0.2">
      <c r="A177" t="s">
        <v>1088</v>
      </c>
      <c r="B177" t="s">
        <v>293</v>
      </c>
      <c r="C177" t="s">
        <v>1089</v>
      </c>
      <c r="D177" t="s">
        <v>294</v>
      </c>
      <c r="E177" s="84">
        <v>42321</v>
      </c>
      <c r="F177">
        <v>233720</v>
      </c>
      <c r="G177">
        <v>92</v>
      </c>
      <c r="H177">
        <v>125771062</v>
      </c>
      <c r="I177" t="s">
        <v>1000</v>
      </c>
      <c r="K177">
        <v>0.60899999999999999</v>
      </c>
      <c r="L177">
        <v>0.378</v>
      </c>
      <c r="M177">
        <v>4</v>
      </c>
      <c r="N177">
        <v>-9.8279999999999994</v>
      </c>
      <c r="O177">
        <v>1</v>
      </c>
      <c r="P177">
        <v>0.438</v>
      </c>
      <c r="Q177">
        <v>0.83499999999999996</v>
      </c>
      <c r="R177">
        <v>0</v>
      </c>
      <c r="S177">
        <v>0.28000000000000003</v>
      </c>
      <c r="T177">
        <v>0.51500000000000001</v>
      </c>
      <c r="U177">
        <v>100.43</v>
      </c>
      <c r="V177">
        <v>4</v>
      </c>
    </row>
    <row r="178" spans="1:22" ht="15" customHeight="1" x14ac:dyDescent="0.2">
      <c r="A178" t="s">
        <v>1090</v>
      </c>
      <c r="B178" t="s">
        <v>295</v>
      </c>
      <c r="C178" t="s">
        <v>884</v>
      </c>
      <c r="D178" t="s">
        <v>1894</v>
      </c>
      <c r="E178" s="84">
        <v>39580</v>
      </c>
      <c r="F178">
        <v>189613</v>
      </c>
      <c r="G178">
        <v>69</v>
      </c>
      <c r="H178">
        <v>125771062</v>
      </c>
      <c r="I178" t="s">
        <v>1000</v>
      </c>
      <c r="J178" t="s">
        <v>1794</v>
      </c>
      <c r="K178">
        <v>0.625</v>
      </c>
      <c r="L178">
        <v>0.41399999999999998</v>
      </c>
      <c r="M178">
        <v>0</v>
      </c>
      <c r="N178">
        <v>-8.6999999999999993</v>
      </c>
      <c r="O178">
        <v>1</v>
      </c>
      <c r="P178">
        <v>3.6900000000000002E-2</v>
      </c>
      <c r="Q178">
        <v>0.29399999999999998</v>
      </c>
      <c r="R178">
        <v>0</v>
      </c>
      <c r="S178">
        <v>0.151</v>
      </c>
      <c r="T178">
        <v>0.66900000000000004</v>
      </c>
      <c r="U178">
        <v>130.08799999999999</v>
      </c>
      <c r="V178">
        <v>4</v>
      </c>
    </row>
    <row r="179" spans="1:22" ht="15" customHeight="1" x14ac:dyDescent="0.2">
      <c r="A179" t="s">
        <v>1091</v>
      </c>
      <c r="B179" t="s">
        <v>297</v>
      </c>
      <c r="C179" t="s">
        <v>1092</v>
      </c>
      <c r="D179" t="s">
        <v>725</v>
      </c>
      <c r="E179" s="84">
        <v>32671</v>
      </c>
      <c r="F179">
        <v>163840</v>
      </c>
      <c r="G179">
        <v>39</v>
      </c>
      <c r="H179">
        <v>125771062</v>
      </c>
      <c r="I179" t="s">
        <v>1000</v>
      </c>
      <c r="K179">
        <v>0.68600000000000005</v>
      </c>
      <c r="L179">
        <v>0.48099999999999998</v>
      </c>
      <c r="M179">
        <v>4</v>
      </c>
      <c r="N179">
        <v>-12.25</v>
      </c>
      <c r="O179">
        <v>1</v>
      </c>
      <c r="P179">
        <v>4.4999999999999998E-2</v>
      </c>
      <c r="Q179">
        <v>0.79300000000000004</v>
      </c>
      <c r="R179">
        <v>0</v>
      </c>
      <c r="S179">
        <v>0.216</v>
      </c>
      <c r="T179">
        <v>0.90200000000000002</v>
      </c>
      <c r="U179">
        <v>144.86199999999999</v>
      </c>
      <c r="V179">
        <v>4</v>
      </c>
    </row>
    <row r="180" spans="1:22" ht="15" customHeight="1" x14ac:dyDescent="0.2">
      <c r="A180" t="s">
        <v>1093</v>
      </c>
      <c r="B180" t="s">
        <v>300</v>
      </c>
      <c r="C180">
        <v>19</v>
      </c>
      <c r="D180" t="s">
        <v>228</v>
      </c>
      <c r="E180" s="84">
        <v>39475</v>
      </c>
      <c r="F180">
        <v>212040</v>
      </c>
      <c r="G180">
        <v>72</v>
      </c>
      <c r="H180">
        <v>125771062</v>
      </c>
      <c r="I180" t="s">
        <v>1000</v>
      </c>
      <c r="J180" t="s">
        <v>1783</v>
      </c>
      <c r="K180">
        <v>0.317</v>
      </c>
      <c r="L180">
        <v>0.17199999999999999</v>
      </c>
      <c r="M180">
        <v>10</v>
      </c>
      <c r="N180">
        <v>-10.635999999999999</v>
      </c>
      <c r="O180">
        <v>1</v>
      </c>
      <c r="P180">
        <v>3.2599999999999997E-2</v>
      </c>
      <c r="Q180">
        <v>0.90700000000000003</v>
      </c>
      <c r="R180">
        <v>3.8299999999999999E-4</v>
      </c>
      <c r="S180">
        <v>0.105</v>
      </c>
      <c r="T180">
        <v>9.6299999999999997E-2</v>
      </c>
      <c r="U180">
        <v>65.180000000000007</v>
      </c>
      <c r="V180">
        <v>3</v>
      </c>
    </row>
    <row r="181" spans="1:22" ht="15" customHeight="1" x14ac:dyDescent="0.2">
      <c r="A181" t="s">
        <v>1094</v>
      </c>
      <c r="B181" t="s">
        <v>301</v>
      </c>
      <c r="C181" t="s">
        <v>1095</v>
      </c>
      <c r="D181" t="s">
        <v>138</v>
      </c>
      <c r="E181">
        <v>1975</v>
      </c>
      <c r="F181">
        <v>213266</v>
      </c>
      <c r="G181">
        <v>81</v>
      </c>
      <c r="H181">
        <v>125771062</v>
      </c>
      <c r="I181" t="s">
        <v>1000</v>
      </c>
      <c r="K181">
        <v>0.749</v>
      </c>
      <c r="L181">
        <v>0.748</v>
      </c>
      <c r="M181">
        <v>2</v>
      </c>
      <c r="N181">
        <v>-7.0110000000000001</v>
      </c>
      <c r="O181">
        <v>1</v>
      </c>
      <c r="P181">
        <v>3.2300000000000002E-2</v>
      </c>
      <c r="Q181">
        <v>0.29499999999999998</v>
      </c>
      <c r="R181">
        <v>4.4299999999999998E-4</v>
      </c>
      <c r="S181">
        <v>0.46899999999999997</v>
      </c>
      <c r="T181">
        <v>0.82699999999999996</v>
      </c>
      <c r="U181">
        <v>137.547</v>
      </c>
      <c r="V181">
        <v>4</v>
      </c>
    </row>
    <row r="182" spans="1:22" ht="15" customHeight="1" x14ac:dyDescent="0.2">
      <c r="A182" t="s">
        <v>1096</v>
      </c>
      <c r="B182" t="s">
        <v>726</v>
      </c>
      <c r="C182" t="s">
        <v>1097</v>
      </c>
      <c r="D182" t="s">
        <v>1895</v>
      </c>
      <c r="E182">
        <v>1999</v>
      </c>
      <c r="F182">
        <v>261973</v>
      </c>
      <c r="G182">
        <v>77</v>
      </c>
      <c r="H182">
        <v>125771062</v>
      </c>
      <c r="I182" t="s">
        <v>1098</v>
      </c>
      <c r="K182">
        <v>0.77700000000000002</v>
      </c>
      <c r="L182">
        <v>0.60099999999999998</v>
      </c>
      <c r="M182">
        <v>2</v>
      </c>
      <c r="N182">
        <v>-5.931</v>
      </c>
      <c r="O182">
        <v>1</v>
      </c>
      <c r="P182">
        <v>0.126</v>
      </c>
      <c r="Q182">
        <v>4.0599999999999997E-2</v>
      </c>
      <c r="R182">
        <v>2.0100000000000001E-3</v>
      </c>
      <c r="S182">
        <v>3.4799999999999998E-2</v>
      </c>
      <c r="T182">
        <v>0.68</v>
      </c>
      <c r="U182">
        <v>97.911000000000001</v>
      </c>
      <c r="V182">
        <v>4</v>
      </c>
    </row>
    <row r="183" spans="1:22" ht="15" customHeight="1" x14ac:dyDescent="0.2">
      <c r="A183" t="s">
        <v>1099</v>
      </c>
      <c r="B183" t="s">
        <v>302</v>
      </c>
      <c r="C183" t="s">
        <v>938</v>
      </c>
      <c r="D183" t="s">
        <v>727</v>
      </c>
      <c r="E183" s="84">
        <v>39588</v>
      </c>
      <c r="F183">
        <v>273600</v>
      </c>
      <c r="G183">
        <v>81</v>
      </c>
      <c r="H183">
        <v>125771062</v>
      </c>
      <c r="I183" t="s">
        <v>1100</v>
      </c>
      <c r="J183" t="s">
        <v>1813</v>
      </c>
      <c r="K183">
        <v>0.46400000000000002</v>
      </c>
      <c r="L183">
        <v>0.65400000000000003</v>
      </c>
      <c r="M183">
        <v>7</v>
      </c>
      <c r="N183">
        <v>-9.0579999999999998</v>
      </c>
      <c r="O183">
        <v>0</v>
      </c>
      <c r="P183">
        <v>6.08E-2</v>
      </c>
      <c r="Q183">
        <v>2.76E-2</v>
      </c>
      <c r="R183">
        <v>1.3400000000000001E-6</v>
      </c>
      <c r="S183">
        <v>0.32800000000000001</v>
      </c>
      <c r="T183">
        <v>0.53</v>
      </c>
      <c r="U183">
        <v>169.512</v>
      </c>
      <c r="V183">
        <v>4</v>
      </c>
    </row>
    <row r="184" spans="1:22" ht="15" customHeight="1" x14ac:dyDescent="0.2">
      <c r="A184" t="s">
        <v>1101</v>
      </c>
      <c r="B184" t="s">
        <v>728</v>
      </c>
      <c r="C184" t="s">
        <v>1102</v>
      </c>
      <c r="D184" t="s">
        <v>304</v>
      </c>
      <c r="E184" s="84">
        <v>36318</v>
      </c>
      <c r="F184">
        <v>193466</v>
      </c>
      <c r="G184">
        <v>48</v>
      </c>
      <c r="H184">
        <v>125771062</v>
      </c>
      <c r="I184" t="s">
        <v>1100</v>
      </c>
      <c r="K184">
        <v>0.63100000000000001</v>
      </c>
      <c r="L184">
        <v>0.91300000000000003</v>
      </c>
      <c r="M184">
        <v>0</v>
      </c>
      <c r="N184">
        <v>-6.0759999999999996</v>
      </c>
      <c r="O184">
        <v>0</v>
      </c>
      <c r="P184">
        <v>0.13300000000000001</v>
      </c>
      <c r="Q184">
        <v>0.49099999999999999</v>
      </c>
      <c r="R184">
        <v>0</v>
      </c>
      <c r="S184">
        <v>0.379</v>
      </c>
      <c r="T184">
        <v>0.68400000000000005</v>
      </c>
      <c r="U184">
        <v>102.011</v>
      </c>
      <c r="V184">
        <v>4</v>
      </c>
    </row>
    <row r="185" spans="1:22" ht="15" customHeight="1" x14ac:dyDescent="0.2">
      <c r="A185" t="s">
        <v>1103</v>
      </c>
      <c r="B185" t="s">
        <v>729</v>
      </c>
      <c r="C185" t="s">
        <v>1830</v>
      </c>
      <c r="D185" t="s">
        <v>673</v>
      </c>
      <c r="E185" s="84">
        <v>24079</v>
      </c>
      <c r="F185">
        <v>162373</v>
      </c>
      <c r="G185">
        <v>69</v>
      </c>
      <c r="H185">
        <v>125771062</v>
      </c>
      <c r="I185" t="s">
        <v>1100</v>
      </c>
      <c r="J185" t="s">
        <v>1781</v>
      </c>
      <c r="K185">
        <v>0.57799999999999996</v>
      </c>
      <c r="L185">
        <v>0.28999999999999998</v>
      </c>
      <c r="M185">
        <v>5</v>
      </c>
      <c r="N185">
        <v>-12.500999999999999</v>
      </c>
      <c r="O185">
        <v>0</v>
      </c>
      <c r="P185">
        <v>3.4099999999999998E-2</v>
      </c>
      <c r="Q185">
        <v>0.65200000000000002</v>
      </c>
      <c r="R185">
        <v>0</v>
      </c>
      <c r="S185">
        <v>0.105</v>
      </c>
      <c r="T185">
        <v>0.66600000000000004</v>
      </c>
      <c r="U185">
        <v>117.40300000000001</v>
      </c>
      <c r="V185">
        <v>4</v>
      </c>
    </row>
    <row r="186" spans="1:22" ht="15" customHeight="1" x14ac:dyDescent="0.2">
      <c r="A186" t="s">
        <v>1104</v>
      </c>
      <c r="B186" t="s">
        <v>1896</v>
      </c>
      <c r="C186" t="s">
        <v>926</v>
      </c>
      <c r="D186" t="s">
        <v>138</v>
      </c>
      <c r="E186">
        <v>1976</v>
      </c>
      <c r="F186">
        <v>186426</v>
      </c>
      <c r="G186">
        <v>72</v>
      </c>
      <c r="H186">
        <v>125771062</v>
      </c>
      <c r="I186" t="s">
        <v>1100</v>
      </c>
      <c r="K186">
        <v>0.78700000000000003</v>
      </c>
      <c r="L186">
        <v>0.70399999999999996</v>
      </c>
      <c r="M186">
        <v>9</v>
      </c>
      <c r="N186">
        <v>-6.8730000000000002</v>
      </c>
      <c r="O186">
        <v>0</v>
      </c>
      <c r="P186">
        <v>3.85E-2</v>
      </c>
      <c r="Q186">
        <v>0.53500000000000003</v>
      </c>
      <c r="R186">
        <v>3.0500000000000002E-3</v>
      </c>
      <c r="S186">
        <v>8.8999999999999996E-2</v>
      </c>
      <c r="T186">
        <v>0.64600000000000002</v>
      </c>
      <c r="U186">
        <v>120.70099999999999</v>
      </c>
      <c r="V186">
        <v>4</v>
      </c>
    </row>
    <row r="187" spans="1:22" ht="15" customHeight="1" x14ac:dyDescent="0.2">
      <c r="A187" t="s">
        <v>1725</v>
      </c>
      <c r="B187" t="s">
        <v>1726</v>
      </c>
      <c r="C187" t="s">
        <v>1727</v>
      </c>
      <c r="D187" t="s">
        <v>308</v>
      </c>
      <c r="E187" s="84">
        <v>41831</v>
      </c>
      <c r="F187">
        <v>123160</v>
      </c>
      <c r="G187">
        <v>60</v>
      </c>
      <c r="H187">
        <v>125771062</v>
      </c>
      <c r="I187" t="s">
        <v>1728</v>
      </c>
      <c r="K187">
        <v>0.38100000000000001</v>
      </c>
      <c r="L187">
        <v>2.5100000000000001E-2</v>
      </c>
      <c r="M187">
        <v>10</v>
      </c>
      <c r="N187">
        <v>-19.128</v>
      </c>
      <c r="O187">
        <v>1</v>
      </c>
      <c r="P187">
        <v>3.27E-2</v>
      </c>
      <c r="Q187">
        <v>0.93500000000000005</v>
      </c>
      <c r="R187">
        <v>1.09E-3</v>
      </c>
      <c r="S187">
        <v>9.9000000000000005E-2</v>
      </c>
      <c r="T187">
        <v>0.17299999999999999</v>
      </c>
      <c r="U187">
        <v>85.968000000000004</v>
      </c>
      <c r="V187">
        <v>3</v>
      </c>
    </row>
    <row r="188" spans="1:22" ht="15" customHeight="1" x14ac:dyDescent="0.2">
      <c r="A188" t="s">
        <v>1105</v>
      </c>
      <c r="B188" t="s">
        <v>730</v>
      </c>
      <c r="C188" t="s">
        <v>1106</v>
      </c>
      <c r="D188" t="s">
        <v>557</v>
      </c>
      <c r="E188">
        <v>2002</v>
      </c>
      <c r="F188">
        <v>223440</v>
      </c>
      <c r="G188">
        <v>24</v>
      </c>
      <c r="H188">
        <v>125771062</v>
      </c>
      <c r="I188" t="s">
        <v>1100</v>
      </c>
      <c r="K188">
        <v>0.73299999999999998</v>
      </c>
      <c r="L188">
        <v>0.66800000000000004</v>
      </c>
      <c r="M188">
        <v>9</v>
      </c>
      <c r="N188">
        <v>-5.7409999999999997</v>
      </c>
      <c r="O188">
        <v>1</v>
      </c>
      <c r="P188">
        <v>3.39E-2</v>
      </c>
      <c r="Q188">
        <v>0.26700000000000002</v>
      </c>
      <c r="R188">
        <v>0</v>
      </c>
      <c r="S188">
        <v>6.2300000000000001E-2</v>
      </c>
      <c r="T188">
        <v>0.84</v>
      </c>
      <c r="U188">
        <v>92.995000000000005</v>
      </c>
      <c r="V188">
        <v>4</v>
      </c>
    </row>
    <row r="189" spans="1:22" ht="15" customHeight="1" x14ac:dyDescent="0.2">
      <c r="A189" t="s">
        <v>1107</v>
      </c>
      <c r="B189" t="s">
        <v>311</v>
      </c>
      <c r="C189" t="s">
        <v>1108</v>
      </c>
      <c r="D189" t="s">
        <v>312</v>
      </c>
      <c r="E189" s="84">
        <v>32874</v>
      </c>
      <c r="F189">
        <v>334106</v>
      </c>
      <c r="G189">
        <v>80</v>
      </c>
      <c r="H189">
        <v>125771062</v>
      </c>
      <c r="I189" t="s">
        <v>1100</v>
      </c>
      <c r="J189" t="s">
        <v>1838</v>
      </c>
      <c r="K189">
        <v>0.626</v>
      </c>
      <c r="L189">
        <v>0.13400000000000001</v>
      </c>
      <c r="M189">
        <v>6</v>
      </c>
      <c r="N189">
        <v>-14.898</v>
      </c>
      <c r="O189">
        <v>1</v>
      </c>
      <c r="P189">
        <v>2.98E-2</v>
      </c>
      <c r="Q189">
        <v>0.46700000000000003</v>
      </c>
      <c r="R189">
        <v>0</v>
      </c>
      <c r="S189">
        <v>0.113</v>
      </c>
      <c r="T189">
        <v>0.23899999999999999</v>
      </c>
      <c r="U189">
        <v>91.893000000000001</v>
      </c>
      <c r="V189">
        <v>4</v>
      </c>
    </row>
    <row r="190" spans="1:22" ht="15" customHeight="1" x14ac:dyDescent="0.2">
      <c r="A190" t="s">
        <v>1729</v>
      </c>
      <c r="B190" t="s">
        <v>1897</v>
      </c>
      <c r="C190" t="s">
        <v>1730</v>
      </c>
      <c r="D190" t="s">
        <v>1898</v>
      </c>
      <c r="E190">
        <v>2010</v>
      </c>
      <c r="F190">
        <v>201160</v>
      </c>
      <c r="G190">
        <v>77</v>
      </c>
      <c r="H190">
        <v>125771062</v>
      </c>
      <c r="I190" t="s">
        <v>1731</v>
      </c>
      <c r="J190" t="s">
        <v>793</v>
      </c>
      <c r="K190">
        <v>0.72199999999999998</v>
      </c>
      <c r="L190">
        <v>0.75800000000000001</v>
      </c>
      <c r="M190">
        <v>11</v>
      </c>
      <c r="N190">
        <v>-4.4770000000000003</v>
      </c>
      <c r="O190">
        <v>0</v>
      </c>
      <c r="P190">
        <v>4.7100000000000003E-2</v>
      </c>
      <c r="Q190">
        <v>1.11E-2</v>
      </c>
      <c r="R190">
        <v>0</v>
      </c>
      <c r="S190">
        <v>0.308</v>
      </c>
      <c r="T190">
        <v>0.62</v>
      </c>
      <c r="U190">
        <v>128.047</v>
      </c>
      <c r="V190">
        <v>4</v>
      </c>
    </row>
    <row r="191" spans="1:22" ht="15" customHeight="1" x14ac:dyDescent="0.2">
      <c r="A191" t="s">
        <v>1109</v>
      </c>
      <c r="B191" t="s">
        <v>731</v>
      </c>
      <c r="C191" t="s">
        <v>1110</v>
      </c>
      <c r="D191" t="s">
        <v>314</v>
      </c>
      <c r="E191">
        <v>1977</v>
      </c>
      <c r="F191">
        <v>303820</v>
      </c>
      <c r="G191">
        <v>83</v>
      </c>
      <c r="H191">
        <v>125771062</v>
      </c>
      <c r="I191" t="s">
        <v>1100</v>
      </c>
      <c r="J191" t="s">
        <v>1953</v>
      </c>
      <c r="K191">
        <v>0.38800000000000001</v>
      </c>
      <c r="L191">
        <v>0.33800000000000002</v>
      </c>
      <c r="M191">
        <v>10</v>
      </c>
      <c r="N191">
        <v>-10.054</v>
      </c>
      <c r="O191">
        <v>1</v>
      </c>
      <c r="P191">
        <v>3.2899999999999999E-2</v>
      </c>
      <c r="Q191">
        <v>0.65200000000000002</v>
      </c>
      <c r="R191">
        <v>3.7299999999999999E-6</v>
      </c>
      <c r="S191">
        <v>0.248</v>
      </c>
      <c r="T191">
        <v>0.47799999999999998</v>
      </c>
      <c r="U191">
        <v>177.76499999999999</v>
      </c>
      <c r="V191">
        <v>4</v>
      </c>
    </row>
    <row r="192" spans="1:22" ht="15" customHeight="1" x14ac:dyDescent="0.2">
      <c r="A192" t="s">
        <v>1111</v>
      </c>
      <c r="B192" t="s">
        <v>732</v>
      </c>
      <c r="C192" t="s">
        <v>1112</v>
      </c>
      <c r="D192" t="s">
        <v>464</v>
      </c>
      <c r="E192">
        <v>2004</v>
      </c>
      <c r="F192">
        <v>222973</v>
      </c>
      <c r="G192">
        <v>93</v>
      </c>
      <c r="H192">
        <v>125771062</v>
      </c>
      <c r="I192" t="s">
        <v>1100</v>
      </c>
      <c r="J192" t="s">
        <v>1839</v>
      </c>
      <c r="K192">
        <v>0.35199999999999998</v>
      </c>
      <c r="L192">
        <v>0.91100000000000003</v>
      </c>
      <c r="M192">
        <v>1</v>
      </c>
      <c r="N192">
        <v>-5.23</v>
      </c>
      <c r="O192">
        <v>1</v>
      </c>
      <c r="P192">
        <v>7.4700000000000003E-2</v>
      </c>
      <c r="Q192">
        <v>1.2099999999999999E-3</v>
      </c>
      <c r="R192">
        <v>0</v>
      </c>
      <c r="S192">
        <v>9.9500000000000005E-2</v>
      </c>
      <c r="T192">
        <v>0.23599999999999999</v>
      </c>
      <c r="U192">
        <v>148.03299999999999</v>
      </c>
      <c r="V192">
        <v>4</v>
      </c>
    </row>
    <row r="193" spans="1:22" ht="15" customHeight="1" x14ac:dyDescent="0.2">
      <c r="A193" t="s">
        <v>1113</v>
      </c>
      <c r="B193" t="s">
        <v>315</v>
      </c>
      <c r="C193" t="s">
        <v>1114</v>
      </c>
      <c r="D193" t="s">
        <v>316</v>
      </c>
      <c r="E193">
        <v>2000</v>
      </c>
      <c r="F193">
        <v>231760</v>
      </c>
      <c r="G193">
        <v>74</v>
      </c>
      <c r="H193">
        <v>125771062</v>
      </c>
      <c r="I193" t="s">
        <v>1100</v>
      </c>
      <c r="K193">
        <v>0.49099999999999999</v>
      </c>
      <c r="L193">
        <v>0.59299999999999997</v>
      </c>
      <c r="M193">
        <v>0</v>
      </c>
      <c r="N193">
        <v>-5.9749999999999996</v>
      </c>
      <c r="O193">
        <v>1</v>
      </c>
      <c r="P193">
        <v>2.5499999999999998E-2</v>
      </c>
      <c r="Q193">
        <v>9.8000000000000004E-2</v>
      </c>
      <c r="R193">
        <v>0</v>
      </c>
      <c r="S193">
        <v>0.25700000000000001</v>
      </c>
      <c r="T193">
        <v>0.32800000000000001</v>
      </c>
      <c r="U193">
        <v>144.142</v>
      </c>
      <c r="V193">
        <v>4</v>
      </c>
    </row>
    <row r="194" spans="1:22" ht="15" customHeight="1" x14ac:dyDescent="0.2">
      <c r="A194" t="s">
        <v>1732</v>
      </c>
      <c r="B194" t="s">
        <v>1733</v>
      </c>
      <c r="C194" t="s">
        <v>1115</v>
      </c>
      <c r="D194" t="s">
        <v>551</v>
      </c>
      <c r="E194" s="84">
        <v>28160</v>
      </c>
      <c r="F194">
        <v>134400</v>
      </c>
      <c r="G194">
        <v>73</v>
      </c>
      <c r="H194">
        <v>125771062</v>
      </c>
      <c r="I194" t="s">
        <v>1734</v>
      </c>
      <c r="J194" t="s">
        <v>1944</v>
      </c>
      <c r="K194">
        <v>0.65400000000000003</v>
      </c>
      <c r="L194">
        <v>0.33600000000000002</v>
      </c>
      <c r="M194">
        <v>6</v>
      </c>
      <c r="N194">
        <v>-12.824999999999999</v>
      </c>
      <c r="O194">
        <v>1</v>
      </c>
      <c r="P194">
        <v>3.7900000000000003E-2</v>
      </c>
      <c r="Q194">
        <v>0.85799999999999998</v>
      </c>
      <c r="R194">
        <v>0.38500000000000001</v>
      </c>
      <c r="S194">
        <v>7.8600000000000003E-2</v>
      </c>
      <c r="T194">
        <v>0.94699999999999995</v>
      </c>
      <c r="U194">
        <v>176.083</v>
      </c>
      <c r="V194">
        <v>4</v>
      </c>
    </row>
    <row r="195" spans="1:22" ht="15" customHeight="1" x14ac:dyDescent="0.2">
      <c r="A195" t="s">
        <v>1116</v>
      </c>
      <c r="B195" t="s">
        <v>785</v>
      </c>
      <c r="C195" t="s">
        <v>1117</v>
      </c>
      <c r="D195" t="s">
        <v>140</v>
      </c>
      <c r="E195" s="84">
        <v>44393</v>
      </c>
      <c r="F195">
        <v>217426</v>
      </c>
      <c r="G195">
        <v>79</v>
      </c>
      <c r="H195">
        <v>125771062</v>
      </c>
      <c r="I195" t="s">
        <v>1118</v>
      </c>
      <c r="J195" t="s">
        <v>1800</v>
      </c>
      <c r="K195">
        <v>0.82599999999999996</v>
      </c>
      <c r="L195">
        <v>0.69399999999999995</v>
      </c>
      <c r="M195">
        <v>7</v>
      </c>
      <c r="N195">
        <v>-7.8620000000000001</v>
      </c>
      <c r="O195">
        <v>1</v>
      </c>
      <c r="P195">
        <v>3.15E-2</v>
      </c>
      <c r="Q195">
        <v>0.316</v>
      </c>
      <c r="R195">
        <v>2.8500000000000001E-2</v>
      </c>
      <c r="S195">
        <v>7.3999999999999996E-2</v>
      </c>
      <c r="T195">
        <v>0.85199999999999998</v>
      </c>
      <c r="U195">
        <v>123.932</v>
      </c>
      <c r="V195">
        <v>4</v>
      </c>
    </row>
    <row r="196" spans="1:22" ht="15" customHeight="1" x14ac:dyDescent="0.2">
      <c r="A196" t="s">
        <v>1119</v>
      </c>
      <c r="B196" t="s">
        <v>548</v>
      </c>
      <c r="C196" t="s">
        <v>1120</v>
      </c>
      <c r="D196" t="s">
        <v>547</v>
      </c>
      <c r="E196" s="84">
        <v>39112</v>
      </c>
      <c r="F196">
        <v>203653</v>
      </c>
      <c r="G196">
        <v>69</v>
      </c>
      <c r="H196">
        <v>125771062</v>
      </c>
      <c r="I196" t="s">
        <v>1100</v>
      </c>
      <c r="K196">
        <v>0.748</v>
      </c>
      <c r="L196">
        <v>0.73499999999999999</v>
      </c>
      <c r="M196">
        <v>8</v>
      </c>
      <c r="N196">
        <v>-8.6920000000000002</v>
      </c>
      <c r="O196">
        <v>1</v>
      </c>
      <c r="P196">
        <v>9.0300000000000005E-2</v>
      </c>
      <c r="Q196">
        <v>0.47</v>
      </c>
      <c r="R196">
        <v>1.0900000000000001E-5</v>
      </c>
      <c r="S196">
        <v>8.5099999999999995E-2</v>
      </c>
      <c r="T196">
        <v>0.85399999999999998</v>
      </c>
      <c r="U196">
        <v>150.04</v>
      </c>
      <c r="V196">
        <v>4</v>
      </c>
    </row>
    <row r="197" spans="1:22" ht="15" customHeight="1" x14ac:dyDescent="0.2">
      <c r="A197" t="s">
        <v>1121</v>
      </c>
      <c r="B197" t="s">
        <v>317</v>
      </c>
      <c r="C197" t="s">
        <v>317</v>
      </c>
      <c r="D197" t="s">
        <v>733</v>
      </c>
      <c r="E197" s="84">
        <v>42874</v>
      </c>
      <c r="F197">
        <v>264997</v>
      </c>
      <c r="G197">
        <v>60</v>
      </c>
      <c r="H197">
        <v>125771062</v>
      </c>
      <c r="I197" t="s">
        <v>1100</v>
      </c>
      <c r="J197" t="s">
        <v>1954</v>
      </c>
      <c r="K197">
        <v>0.19</v>
      </c>
      <c r="L197">
        <v>0.34399999999999997</v>
      </c>
      <c r="M197">
        <v>4</v>
      </c>
      <c r="N197">
        <v>-12.064</v>
      </c>
      <c r="O197">
        <v>0</v>
      </c>
      <c r="P197">
        <v>3.09E-2</v>
      </c>
      <c r="Q197">
        <v>0.252</v>
      </c>
      <c r="R197">
        <v>0.32700000000000001</v>
      </c>
      <c r="S197">
        <v>0.19400000000000001</v>
      </c>
      <c r="T197">
        <v>0.218</v>
      </c>
      <c r="U197">
        <v>156.88800000000001</v>
      </c>
      <c r="V197">
        <v>3</v>
      </c>
    </row>
    <row r="198" spans="1:22" ht="15" customHeight="1" x14ac:dyDescent="0.2">
      <c r="A198" t="s">
        <v>1122</v>
      </c>
      <c r="B198" t="s">
        <v>781</v>
      </c>
      <c r="C198" t="s">
        <v>1830</v>
      </c>
      <c r="D198" t="s">
        <v>673</v>
      </c>
      <c r="E198" s="84">
        <v>24079</v>
      </c>
      <c r="F198">
        <v>124693</v>
      </c>
      <c r="G198">
        <v>71</v>
      </c>
      <c r="H198">
        <v>125771062</v>
      </c>
      <c r="I198" t="s">
        <v>1123</v>
      </c>
      <c r="J198" t="s">
        <v>1781</v>
      </c>
      <c r="K198">
        <v>0.42499999999999999</v>
      </c>
      <c r="L198">
        <v>0.36899999999999999</v>
      </c>
      <c r="M198">
        <v>4</v>
      </c>
      <c r="N198">
        <v>-11.875999999999999</v>
      </c>
      <c r="O198">
        <v>1</v>
      </c>
      <c r="P198">
        <v>3.7900000000000003E-2</v>
      </c>
      <c r="Q198">
        <v>0.183</v>
      </c>
      <c r="R198">
        <v>1.2600000000000001E-3</v>
      </c>
      <c r="S198">
        <v>0.112</v>
      </c>
      <c r="T198">
        <v>0.65</v>
      </c>
      <c r="U198">
        <v>176.625</v>
      </c>
      <c r="V198">
        <v>3</v>
      </c>
    </row>
    <row r="199" spans="1:22" ht="15" customHeight="1" x14ac:dyDescent="0.2">
      <c r="A199" t="s">
        <v>1124</v>
      </c>
      <c r="B199" t="s">
        <v>320</v>
      </c>
      <c r="C199" t="s">
        <v>1125</v>
      </c>
      <c r="D199" t="s">
        <v>321</v>
      </c>
      <c r="E199" s="84">
        <v>37705</v>
      </c>
      <c r="F199">
        <v>187520</v>
      </c>
      <c r="G199">
        <v>90</v>
      </c>
      <c r="H199">
        <v>125771062</v>
      </c>
      <c r="I199" t="s">
        <v>1100</v>
      </c>
      <c r="J199" t="s">
        <v>1840</v>
      </c>
      <c r="K199">
        <v>0.48799999999999999</v>
      </c>
      <c r="L199">
        <v>0.87</v>
      </c>
      <c r="M199">
        <v>6</v>
      </c>
      <c r="N199">
        <v>-4.1849999999999996</v>
      </c>
      <c r="O199">
        <v>0</v>
      </c>
      <c r="P199">
        <v>4.2099999999999999E-2</v>
      </c>
      <c r="Q199">
        <v>3.5300000000000002E-3</v>
      </c>
      <c r="R199">
        <v>0</v>
      </c>
      <c r="S199">
        <v>0.48399999999999999</v>
      </c>
      <c r="T199">
        <v>0.21099999999999999</v>
      </c>
      <c r="U199">
        <v>110.072</v>
      </c>
      <c r="V199">
        <v>4</v>
      </c>
    </row>
    <row r="200" spans="1:22" ht="15" customHeight="1" x14ac:dyDescent="0.2">
      <c r="A200" t="s">
        <v>1126</v>
      </c>
      <c r="B200" t="s">
        <v>734</v>
      </c>
      <c r="C200" t="s">
        <v>1127</v>
      </c>
      <c r="D200" t="s">
        <v>324</v>
      </c>
      <c r="E200" s="84">
        <v>37208</v>
      </c>
      <c r="F200">
        <v>222533</v>
      </c>
      <c r="G200">
        <v>57</v>
      </c>
      <c r="H200">
        <v>125771062</v>
      </c>
      <c r="I200" t="s">
        <v>1100</v>
      </c>
      <c r="J200" t="s">
        <v>1841</v>
      </c>
      <c r="K200">
        <v>0.60199999999999998</v>
      </c>
      <c r="L200">
        <v>0.86399999999999999</v>
      </c>
      <c r="M200">
        <v>11</v>
      </c>
      <c r="N200">
        <v>-5.282</v>
      </c>
      <c r="O200">
        <v>0</v>
      </c>
      <c r="P200">
        <v>6.6100000000000006E-2</v>
      </c>
      <c r="Q200">
        <v>1.49E-2</v>
      </c>
      <c r="R200">
        <v>0</v>
      </c>
      <c r="S200">
        <v>2.46E-2</v>
      </c>
      <c r="T200">
        <v>0.71</v>
      </c>
      <c r="U200">
        <v>179.39099999999999</v>
      </c>
      <c r="V200">
        <v>4</v>
      </c>
    </row>
    <row r="201" spans="1:22" ht="15" customHeight="1" x14ac:dyDescent="0.2">
      <c r="A201" t="s">
        <v>1579</v>
      </c>
      <c r="B201" t="s">
        <v>1573</v>
      </c>
      <c r="C201" t="s">
        <v>1580</v>
      </c>
      <c r="D201" t="s">
        <v>1574</v>
      </c>
      <c r="E201" s="84">
        <v>33560</v>
      </c>
      <c r="F201">
        <v>276186</v>
      </c>
      <c r="G201">
        <v>78</v>
      </c>
      <c r="H201">
        <v>125771062</v>
      </c>
      <c r="I201" t="s">
        <v>1955</v>
      </c>
      <c r="J201" t="s">
        <v>1842</v>
      </c>
      <c r="K201">
        <v>0.39200000000000002</v>
      </c>
      <c r="L201">
        <v>0.53400000000000003</v>
      </c>
      <c r="M201">
        <v>0</v>
      </c>
      <c r="N201">
        <v>-8.7929999999999993</v>
      </c>
      <c r="O201">
        <v>1</v>
      </c>
      <c r="P201">
        <v>3.6900000000000002E-2</v>
      </c>
      <c r="Q201">
        <v>0.245</v>
      </c>
      <c r="R201">
        <v>1.0399999999999999E-3</v>
      </c>
      <c r="S201">
        <v>0.155</v>
      </c>
      <c r="T201">
        <v>0.32500000000000001</v>
      </c>
      <c r="U201">
        <v>181.30500000000001</v>
      </c>
      <c r="V201">
        <v>4</v>
      </c>
    </row>
    <row r="202" spans="1:22" ht="15" customHeight="1" x14ac:dyDescent="0.2">
      <c r="A202" t="s">
        <v>1128</v>
      </c>
      <c r="B202" t="s">
        <v>327</v>
      </c>
      <c r="C202" t="s">
        <v>327</v>
      </c>
      <c r="D202" t="s">
        <v>328</v>
      </c>
      <c r="E202">
        <v>2002</v>
      </c>
      <c r="F202">
        <v>207186</v>
      </c>
      <c r="G202">
        <v>67</v>
      </c>
      <c r="H202">
        <v>125771062</v>
      </c>
      <c r="I202" t="s">
        <v>1100</v>
      </c>
      <c r="K202">
        <v>0.68300000000000005</v>
      </c>
      <c r="L202">
        <v>0.72199999999999998</v>
      </c>
      <c r="M202">
        <v>8</v>
      </c>
      <c r="N202">
        <v>-4.0389999999999997</v>
      </c>
      <c r="O202">
        <v>0</v>
      </c>
      <c r="P202">
        <v>3.5799999999999998E-2</v>
      </c>
      <c r="Q202">
        <v>2.4299999999999999E-2</v>
      </c>
      <c r="R202">
        <v>4.1999999999999998E-5</v>
      </c>
      <c r="S202">
        <v>0.35</v>
      </c>
      <c r="T202">
        <v>0.85399999999999998</v>
      </c>
      <c r="U202">
        <v>95.012</v>
      </c>
      <c r="V202">
        <v>4</v>
      </c>
    </row>
    <row r="203" spans="1:22" ht="15" customHeight="1" x14ac:dyDescent="0.2">
      <c r="A203" t="s">
        <v>1129</v>
      </c>
      <c r="B203" t="s">
        <v>735</v>
      </c>
      <c r="C203" t="s">
        <v>1130</v>
      </c>
      <c r="D203" t="s">
        <v>1899</v>
      </c>
      <c r="E203" s="84">
        <v>41843</v>
      </c>
      <c r="F203">
        <v>182729</v>
      </c>
      <c r="G203">
        <v>9</v>
      </c>
      <c r="H203">
        <v>125771062</v>
      </c>
      <c r="I203" t="s">
        <v>1100</v>
      </c>
      <c r="K203">
        <v>0.55600000000000005</v>
      </c>
      <c r="L203">
        <v>0.36199999999999999</v>
      </c>
      <c r="M203">
        <v>9</v>
      </c>
      <c r="N203">
        <v>-9.3279999999999994</v>
      </c>
      <c r="O203">
        <v>0</v>
      </c>
      <c r="P203">
        <v>4.2900000000000001E-2</v>
      </c>
      <c r="Q203">
        <v>0.94399999999999995</v>
      </c>
      <c r="R203">
        <v>1.23E-3</v>
      </c>
      <c r="S203">
        <v>0.113</v>
      </c>
      <c r="T203">
        <v>0.44600000000000001</v>
      </c>
      <c r="U203">
        <v>77.760000000000005</v>
      </c>
      <c r="V203">
        <v>4</v>
      </c>
    </row>
    <row r="204" spans="1:22" ht="15" customHeight="1" x14ac:dyDescent="0.2">
      <c r="A204" t="s">
        <v>1132</v>
      </c>
      <c r="B204" t="s">
        <v>331</v>
      </c>
      <c r="C204" t="s">
        <v>1900</v>
      </c>
      <c r="D204" t="s">
        <v>332</v>
      </c>
      <c r="E204" s="84">
        <v>27030</v>
      </c>
      <c r="F204">
        <v>171301</v>
      </c>
      <c r="G204">
        <v>33</v>
      </c>
      <c r="H204">
        <v>125771062</v>
      </c>
      <c r="I204" t="s">
        <v>1100</v>
      </c>
      <c r="J204" t="s">
        <v>1801</v>
      </c>
      <c r="K204">
        <v>0.35</v>
      </c>
      <c r="L204">
        <v>0.124</v>
      </c>
      <c r="M204">
        <v>7</v>
      </c>
      <c r="N204">
        <v>-18.922999999999998</v>
      </c>
      <c r="O204">
        <v>1</v>
      </c>
      <c r="P204">
        <v>3.39E-2</v>
      </c>
      <c r="Q204">
        <v>0.90200000000000002</v>
      </c>
      <c r="R204">
        <v>2.0699999999999998E-5</v>
      </c>
      <c r="S204">
        <v>0.13400000000000001</v>
      </c>
      <c r="T204">
        <v>0.32</v>
      </c>
      <c r="U204">
        <v>117.169</v>
      </c>
      <c r="V204">
        <v>4</v>
      </c>
    </row>
    <row r="205" spans="1:22" ht="15" customHeight="1" x14ac:dyDescent="0.2">
      <c r="A205" t="s">
        <v>1133</v>
      </c>
      <c r="B205" t="s">
        <v>334</v>
      </c>
      <c r="C205" t="s">
        <v>1134</v>
      </c>
      <c r="D205" t="s">
        <v>28</v>
      </c>
      <c r="E205" s="84">
        <v>40840</v>
      </c>
      <c r="F205">
        <v>278719</v>
      </c>
      <c r="G205">
        <v>86</v>
      </c>
      <c r="H205">
        <v>125771062</v>
      </c>
      <c r="I205" t="s">
        <v>1100</v>
      </c>
      <c r="K205">
        <v>0.44900000000000001</v>
      </c>
      <c r="L205">
        <v>0.58499999999999996</v>
      </c>
      <c r="M205">
        <v>5</v>
      </c>
      <c r="N205">
        <v>-6.7610000000000001</v>
      </c>
      <c r="O205">
        <v>1</v>
      </c>
      <c r="P205">
        <v>2.6800000000000001E-2</v>
      </c>
      <c r="Q205">
        <v>5.0900000000000001E-2</v>
      </c>
      <c r="R205">
        <v>8.7499999999999999E-5</v>
      </c>
      <c r="S205">
        <v>8.3299999999999999E-2</v>
      </c>
      <c r="T205">
        <v>0.21199999999999999</v>
      </c>
      <c r="U205">
        <v>139.631</v>
      </c>
      <c r="V205">
        <v>4</v>
      </c>
    </row>
    <row r="206" spans="1:22" ht="15" customHeight="1" x14ac:dyDescent="0.2">
      <c r="A206" t="s">
        <v>1135</v>
      </c>
      <c r="B206" t="s">
        <v>335</v>
      </c>
      <c r="C206" t="s">
        <v>1136</v>
      </c>
      <c r="D206" t="s">
        <v>336</v>
      </c>
      <c r="E206" s="84">
        <v>31303</v>
      </c>
      <c r="F206">
        <v>252560</v>
      </c>
      <c r="G206">
        <v>75</v>
      </c>
      <c r="H206">
        <v>125771062</v>
      </c>
      <c r="I206" t="s">
        <v>1100</v>
      </c>
      <c r="J206" t="s">
        <v>1843</v>
      </c>
      <c r="K206">
        <v>0.66200000000000003</v>
      </c>
      <c r="L206">
        <v>0.624</v>
      </c>
      <c r="M206">
        <v>10</v>
      </c>
      <c r="N206">
        <v>-13.606</v>
      </c>
      <c r="O206">
        <v>0</v>
      </c>
      <c r="P206">
        <v>4.1700000000000001E-2</v>
      </c>
      <c r="Q206">
        <v>0.16500000000000001</v>
      </c>
      <c r="R206">
        <v>0</v>
      </c>
      <c r="S206">
        <v>6.7400000000000002E-2</v>
      </c>
      <c r="T206">
        <v>0.96099999999999997</v>
      </c>
      <c r="U206">
        <v>174.51300000000001</v>
      </c>
      <c r="V206">
        <v>4</v>
      </c>
    </row>
    <row r="207" spans="1:22" ht="15" customHeight="1" x14ac:dyDescent="0.2">
      <c r="A207" t="s">
        <v>1137</v>
      </c>
      <c r="B207" t="s">
        <v>655</v>
      </c>
      <c r="C207" t="s">
        <v>987</v>
      </c>
      <c r="D207" t="s">
        <v>338</v>
      </c>
      <c r="E207" s="84">
        <v>42797</v>
      </c>
      <c r="F207">
        <v>263400</v>
      </c>
      <c r="G207">
        <v>89</v>
      </c>
      <c r="H207">
        <v>125771062</v>
      </c>
      <c r="I207" t="s">
        <v>1138</v>
      </c>
      <c r="J207" t="s">
        <v>1783</v>
      </c>
      <c r="K207">
        <v>0.59899999999999998</v>
      </c>
      <c r="L207">
        <v>0.44800000000000001</v>
      </c>
      <c r="M207">
        <v>8</v>
      </c>
      <c r="N207">
        <v>-6.3120000000000003</v>
      </c>
      <c r="O207">
        <v>1</v>
      </c>
      <c r="P207">
        <v>2.3199999999999998E-2</v>
      </c>
      <c r="Q207">
        <v>0.16300000000000001</v>
      </c>
      <c r="R207">
        <v>0</v>
      </c>
      <c r="S207">
        <v>0.106</v>
      </c>
      <c r="T207">
        <v>0.16800000000000001</v>
      </c>
      <c r="U207">
        <v>95.05</v>
      </c>
      <c r="V207">
        <v>3</v>
      </c>
    </row>
    <row r="208" spans="1:22" ht="15" customHeight="1" x14ac:dyDescent="0.2">
      <c r="A208" t="s">
        <v>1139</v>
      </c>
      <c r="B208" t="s">
        <v>736</v>
      </c>
      <c r="C208" t="s">
        <v>1140</v>
      </c>
      <c r="D208" t="s">
        <v>340</v>
      </c>
      <c r="E208" s="84">
        <v>27298</v>
      </c>
      <c r="F208">
        <v>128000</v>
      </c>
      <c r="G208">
        <v>0</v>
      </c>
      <c r="H208">
        <v>125771062</v>
      </c>
      <c r="I208" t="s">
        <v>1100</v>
      </c>
      <c r="J208" t="s">
        <v>1829</v>
      </c>
      <c r="K208">
        <v>0.58299999999999996</v>
      </c>
      <c r="L208">
        <v>0.23</v>
      </c>
      <c r="M208">
        <v>7</v>
      </c>
      <c r="N208">
        <v>-14.728</v>
      </c>
      <c r="O208">
        <v>1</v>
      </c>
      <c r="P208">
        <v>3.6999999999999998E-2</v>
      </c>
      <c r="Q208">
        <v>0.64600000000000002</v>
      </c>
      <c r="R208">
        <v>4.3399999999999998E-5</v>
      </c>
      <c r="S208">
        <v>0.186</v>
      </c>
      <c r="T208">
        <v>0.48799999999999999</v>
      </c>
      <c r="U208">
        <v>122.96</v>
      </c>
      <c r="V208">
        <v>4</v>
      </c>
    </row>
    <row r="209" spans="1:22" ht="15" customHeight="1" x14ac:dyDescent="0.2">
      <c r="A209" t="s">
        <v>1141</v>
      </c>
      <c r="B209" t="s">
        <v>341</v>
      </c>
      <c r="C209" t="s">
        <v>1142</v>
      </c>
      <c r="D209" t="s">
        <v>342</v>
      </c>
      <c r="E209" s="84">
        <v>26975</v>
      </c>
      <c r="F209">
        <v>339000</v>
      </c>
      <c r="G209">
        <v>85</v>
      </c>
      <c r="H209">
        <v>125771062</v>
      </c>
      <c r="I209" t="s">
        <v>1100</v>
      </c>
      <c r="J209" t="s">
        <v>1787</v>
      </c>
      <c r="K209">
        <v>0.33100000000000002</v>
      </c>
      <c r="L209">
        <v>0.55000000000000004</v>
      </c>
      <c r="M209">
        <v>0</v>
      </c>
      <c r="N209">
        <v>-6.4829999999999997</v>
      </c>
      <c r="O209">
        <v>1</v>
      </c>
      <c r="P209">
        <v>2.7199999999999998E-2</v>
      </c>
      <c r="Q209">
        <v>0.60499999999999998</v>
      </c>
      <c r="R209">
        <v>3.9600000000000002E-6</v>
      </c>
      <c r="S209">
        <v>0.192</v>
      </c>
      <c r="T209">
        <v>0.42899999999999999</v>
      </c>
      <c r="U209">
        <v>177.73400000000001</v>
      </c>
      <c r="V209">
        <v>3</v>
      </c>
    </row>
    <row r="210" spans="1:22" ht="15" customHeight="1" x14ac:dyDescent="0.2">
      <c r="A210" t="s">
        <v>1143</v>
      </c>
      <c r="B210" t="s">
        <v>737</v>
      </c>
      <c r="C210" t="s">
        <v>1144</v>
      </c>
      <c r="D210" t="s">
        <v>344</v>
      </c>
      <c r="E210" s="84">
        <v>41751</v>
      </c>
      <c r="F210">
        <v>154466</v>
      </c>
      <c r="G210">
        <v>0</v>
      </c>
      <c r="H210">
        <v>125771062</v>
      </c>
      <c r="I210" t="s">
        <v>1100</v>
      </c>
      <c r="J210" t="s">
        <v>1785</v>
      </c>
      <c r="K210">
        <v>0.48499999999999999</v>
      </c>
      <c r="L210">
        <v>0.70599999999999996</v>
      </c>
      <c r="M210">
        <v>8</v>
      </c>
      <c r="N210">
        <v>-7.3869999999999996</v>
      </c>
      <c r="O210">
        <v>1</v>
      </c>
      <c r="P210">
        <v>3.1899999999999998E-2</v>
      </c>
      <c r="Q210">
        <v>0.39200000000000002</v>
      </c>
      <c r="R210">
        <v>0</v>
      </c>
      <c r="S210">
        <v>9.9099999999999994E-2</v>
      </c>
      <c r="T210">
        <v>0.91200000000000003</v>
      </c>
      <c r="U210">
        <v>135.255</v>
      </c>
      <c r="V210">
        <v>4</v>
      </c>
    </row>
    <row r="211" spans="1:22" ht="15" customHeight="1" x14ac:dyDescent="0.2">
      <c r="A211" t="s">
        <v>1145</v>
      </c>
      <c r="B211" t="s">
        <v>1901</v>
      </c>
      <c r="C211" t="s">
        <v>1146</v>
      </c>
      <c r="D211" t="s">
        <v>642</v>
      </c>
      <c r="E211" s="84">
        <v>38804</v>
      </c>
      <c r="F211">
        <v>176933</v>
      </c>
      <c r="G211">
        <v>69</v>
      </c>
      <c r="H211">
        <v>125771062</v>
      </c>
      <c r="I211" t="s">
        <v>1100</v>
      </c>
      <c r="J211" t="s">
        <v>1844</v>
      </c>
      <c r="K211">
        <v>0.60899999999999999</v>
      </c>
      <c r="L211">
        <v>0.58399999999999996</v>
      </c>
      <c r="M211">
        <v>9</v>
      </c>
      <c r="N211">
        <v>-9.734</v>
      </c>
      <c r="O211">
        <v>1</v>
      </c>
      <c r="P211">
        <v>3.5299999999999998E-2</v>
      </c>
      <c r="Q211">
        <v>0.72499999999999998</v>
      </c>
      <c r="R211">
        <v>0</v>
      </c>
      <c r="S211">
        <v>8.5400000000000004E-2</v>
      </c>
      <c r="T211">
        <v>0.95399999999999996</v>
      </c>
      <c r="U211">
        <v>127.306</v>
      </c>
      <c r="V211">
        <v>4</v>
      </c>
    </row>
    <row r="212" spans="1:22" ht="15" customHeight="1" x14ac:dyDescent="0.2">
      <c r="A212" t="s">
        <v>1147</v>
      </c>
      <c r="B212" t="s">
        <v>542</v>
      </c>
      <c r="C212" t="s">
        <v>1148</v>
      </c>
      <c r="D212" t="s">
        <v>738</v>
      </c>
      <c r="E212" s="84">
        <v>31778</v>
      </c>
      <c r="F212">
        <v>196666</v>
      </c>
      <c r="G212">
        <v>24</v>
      </c>
      <c r="H212">
        <v>125771062</v>
      </c>
      <c r="I212" t="s">
        <v>1100</v>
      </c>
      <c r="J212" t="s">
        <v>1845</v>
      </c>
      <c r="K212">
        <v>0.621</v>
      </c>
      <c r="L212">
        <v>0.377</v>
      </c>
      <c r="M212">
        <v>5</v>
      </c>
      <c r="N212">
        <v>-16.210999999999999</v>
      </c>
      <c r="O212">
        <v>1</v>
      </c>
      <c r="P212">
        <v>3.1899999999999998E-2</v>
      </c>
      <c r="Q212">
        <v>0.71199999999999997</v>
      </c>
      <c r="R212">
        <v>0</v>
      </c>
      <c r="S212">
        <v>0.185</v>
      </c>
      <c r="T212">
        <v>0.88500000000000001</v>
      </c>
      <c r="U212">
        <v>122.105</v>
      </c>
      <c r="V212">
        <v>4</v>
      </c>
    </row>
    <row r="213" spans="1:22" ht="15" customHeight="1" x14ac:dyDescent="0.2">
      <c r="A213" t="s">
        <v>1149</v>
      </c>
      <c r="B213" t="s">
        <v>347</v>
      </c>
      <c r="C213" t="s">
        <v>1150</v>
      </c>
      <c r="D213" t="s">
        <v>1902</v>
      </c>
      <c r="E213" s="84">
        <v>40544</v>
      </c>
      <c r="F213">
        <v>223053</v>
      </c>
      <c r="G213">
        <v>68</v>
      </c>
      <c r="H213">
        <v>125771062</v>
      </c>
      <c r="I213" t="s">
        <v>1100</v>
      </c>
      <c r="K213">
        <v>0.63700000000000001</v>
      </c>
      <c r="L213">
        <v>0.83199999999999996</v>
      </c>
      <c r="M213">
        <v>5</v>
      </c>
      <c r="N213">
        <v>-3.9449999999999998</v>
      </c>
      <c r="O213">
        <v>1</v>
      </c>
      <c r="P213">
        <v>0.183</v>
      </c>
      <c r="Q213">
        <v>2.8199999999999999E-2</v>
      </c>
      <c r="R213">
        <v>3.4699999999999998E-6</v>
      </c>
      <c r="S213">
        <v>0.27700000000000002</v>
      </c>
      <c r="T213">
        <v>0.68</v>
      </c>
      <c r="U213">
        <v>175.011</v>
      </c>
      <c r="V213">
        <v>4</v>
      </c>
    </row>
    <row r="214" spans="1:22" ht="15" customHeight="1" x14ac:dyDescent="0.2">
      <c r="A214" t="s">
        <v>1151</v>
      </c>
      <c r="B214" t="s">
        <v>349</v>
      </c>
      <c r="C214" t="s">
        <v>1152</v>
      </c>
      <c r="D214" t="s">
        <v>350</v>
      </c>
      <c r="E214" s="84">
        <v>25053</v>
      </c>
      <c r="F214">
        <v>201440</v>
      </c>
      <c r="G214">
        <v>65</v>
      </c>
      <c r="H214">
        <v>125771062</v>
      </c>
      <c r="I214" t="s">
        <v>1100</v>
      </c>
      <c r="K214">
        <v>0.36599999999999999</v>
      </c>
      <c r="L214">
        <v>0.58899999999999997</v>
      </c>
      <c r="M214">
        <v>0</v>
      </c>
      <c r="N214">
        <v>-8.9559999999999995</v>
      </c>
      <c r="O214">
        <v>1</v>
      </c>
      <c r="P214">
        <v>3.3300000000000003E-2</v>
      </c>
      <c r="Q214">
        <v>0.251</v>
      </c>
      <c r="R214">
        <v>1.15E-6</v>
      </c>
      <c r="S214">
        <v>7.9100000000000004E-2</v>
      </c>
      <c r="T214">
        <v>0.84</v>
      </c>
      <c r="U214">
        <v>175.935</v>
      </c>
      <c r="V214">
        <v>4</v>
      </c>
    </row>
    <row r="215" spans="1:22" ht="15" customHeight="1" x14ac:dyDescent="0.2">
      <c r="A215" t="s">
        <v>1153</v>
      </c>
      <c r="B215" t="s">
        <v>1903</v>
      </c>
      <c r="C215" t="s">
        <v>1154</v>
      </c>
      <c r="D215" t="s">
        <v>1904</v>
      </c>
      <c r="E215" s="84">
        <v>43931</v>
      </c>
      <c r="F215">
        <v>124880</v>
      </c>
      <c r="G215">
        <v>54</v>
      </c>
      <c r="H215">
        <v>125771062</v>
      </c>
      <c r="I215" t="s">
        <v>1155</v>
      </c>
      <c r="J215" t="s">
        <v>1846</v>
      </c>
      <c r="K215">
        <v>0.4</v>
      </c>
      <c r="L215">
        <v>0.42199999999999999</v>
      </c>
      <c r="M215">
        <v>9</v>
      </c>
      <c r="N215">
        <v>-9.16</v>
      </c>
      <c r="O215">
        <v>1</v>
      </c>
      <c r="P215">
        <v>3.7900000000000003E-2</v>
      </c>
      <c r="Q215">
        <v>0.85499999999999998</v>
      </c>
      <c r="R215">
        <v>0</v>
      </c>
      <c r="S215">
        <v>0.72199999999999998</v>
      </c>
      <c r="T215">
        <v>0.74299999999999999</v>
      </c>
      <c r="U215">
        <v>175.83799999999999</v>
      </c>
      <c r="V215">
        <v>4</v>
      </c>
    </row>
    <row r="216" spans="1:22" ht="15" customHeight="1" x14ac:dyDescent="0.2">
      <c r="A216" t="s">
        <v>1339</v>
      </c>
      <c r="B216" t="s">
        <v>1340</v>
      </c>
      <c r="C216" t="s">
        <v>1956</v>
      </c>
      <c r="D216" t="s">
        <v>1341</v>
      </c>
      <c r="E216" s="84">
        <v>40544</v>
      </c>
      <c r="F216">
        <v>179080</v>
      </c>
      <c r="G216">
        <v>0</v>
      </c>
      <c r="H216">
        <v>125771062</v>
      </c>
      <c r="I216" t="s">
        <v>1342</v>
      </c>
      <c r="K216">
        <v>0.54500000000000004</v>
      </c>
      <c r="L216">
        <v>0.495</v>
      </c>
      <c r="M216">
        <v>5</v>
      </c>
      <c r="N216">
        <v>-8.3689999999999998</v>
      </c>
      <c r="O216">
        <v>1</v>
      </c>
      <c r="P216">
        <v>6.0699999999999997E-2</v>
      </c>
      <c r="Q216">
        <v>0.86799999999999999</v>
      </c>
      <c r="R216">
        <v>1.5100000000000001E-2</v>
      </c>
      <c r="S216">
        <v>0.19700000000000001</v>
      </c>
      <c r="T216">
        <v>0.73099999999999998</v>
      </c>
      <c r="U216">
        <v>106.9</v>
      </c>
      <c r="V216">
        <v>4</v>
      </c>
    </row>
    <row r="217" spans="1:22" ht="15" customHeight="1" x14ac:dyDescent="0.2">
      <c r="A217" t="s">
        <v>1156</v>
      </c>
      <c r="B217" t="s">
        <v>644</v>
      </c>
      <c r="C217" t="s">
        <v>1157</v>
      </c>
      <c r="D217" t="s">
        <v>739</v>
      </c>
      <c r="E217">
        <v>1978</v>
      </c>
      <c r="F217">
        <v>351573</v>
      </c>
      <c r="G217">
        <v>68</v>
      </c>
      <c r="H217">
        <v>125771062</v>
      </c>
      <c r="I217" t="s">
        <v>1100</v>
      </c>
      <c r="J217" t="s">
        <v>1824</v>
      </c>
      <c r="K217">
        <v>0.63900000000000001</v>
      </c>
      <c r="L217">
        <v>0.89300000000000002</v>
      </c>
      <c r="M217">
        <v>9</v>
      </c>
      <c r="N217">
        <v>-6.5090000000000003</v>
      </c>
      <c r="O217">
        <v>1</v>
      </c>
      <c r="P217">
        <v>3.5999999999999997E-2</v>
      </c>
      <c r="Q217">
        <v>0.28899999999999998</v>
      </c>
      <c r="R217">
        <v>8.1600000000000006E-3</v>
      </c>
      <c r="S217">
        <v>0.222</v>
      </c>
      <c r="T217">
        <v>0.96599999999999997</v>
      </c>
      <c r="U217">
        <v>126.143</v>
      </c>
      <c r="V217">
        <v>4</v>
      </c>
    </row>
    <row r="218" spans="1:22" ht="15" customHeight="1" x14ac:dyDescent="0.2">
      <c r="A218" t="s">
        <v>1158</v>
      </c>
      <c r="B218" t="s">
        <v>353</v>
      </c>
      <c r="C218" t="s">
        <v>1159</v>
      </c>
      <c r="D218" t="s">
        <v>234</v>
      </c>
      <c r="E218" s="84">
        <v>40179</v>
      </c>
      <c r="F218">
        <v>200200</v>
      </c>
      <c r="G218">
        <v>62</v>
      </c>
      <c r="H218">
        <v>125771062</v>
      </c>
      <c r="I218" t="s">
        <v>1100</v>
      </c>
      <c r="K218">
        <v>0.53100000000000003</v>
      </c>
      <c r="L218">
        <v>0.54200000000000004</v>
      </c>
      <c r="M218">
        <v>8</v>
      </c>
      <c r="N218">
        <v>-7.7210000000000001</v>
      </c>
      <c r="O218">
        <v>1</v>
      </c>
      <c r="P218">
        <v>4.3200000000000002E-2</v>
      </c>
      <c r="Q218">
        <v>0.35599999999999998</v>
      </c>
      <c r="R218">
        <v>0</v>
      </c>
      <c r="S218">
        <v>0.11899999999999999</v>
      </c>
      <c r="T218">
        <v>0.72599999999999998</v>
      </c>
      <c r="U218">
        <v>171.87799999999999</v>
      </c>
      <c r="V218">
        <v>4</v>
      </c>
    </row>
    <row r="219" spans="1:22" ht="15" customHeight="1" x14ac:dyDescent="0.2">
      <c r="A219" t="s">
        <v>1160</v>
      </c>
      <c r="B219" t="s">
        <v>740</v>
      </c>
      <c r="C219" t="s">
        <v>1161</v>
      </c>
      <c r="D219" t="s">
        <v>356</v>
      </c>
      <c r="E219" s="84">
        <v>23229</v>
      </c>
      <c r="F219">
        <v>158426</v>
      </c>
      <c r="G219">
        <v>72</v>
      </c>
      <c r="H219">
        <v>125771062</v>
      </c>
      <c r="I219" t="s">
        <v>1100</v>
      </c>
      <c r="J219" t="s">
        <v>1847</v>
      </c>
      <c r="K219">
        <v>0.65900000000000003</v>
      </c>
      <c r="L219">
        <v>0.58499999999999996</v>
      </c>
      <c r="M219">
        <v>7</v>
      </c>
      <c r="N219">
        <v>-8.1890000000000001</v>
      </c>
      <c r="O219">
        <v>1</v>
      </c>
      <c r="P219">
        <v>2.8799999999999999E-2</v>
      </c>
      <c r="Q219">
        <v>0.623</v>
      </c>
      <c r="R219">
        <v>2.13E-4</v>
      </c>
      <c r="S219">
        <v>0.34799999999999998</v>
      </c>
      <c r="T219">
        <v>0.78400000000000003</v>
      </c>
      <c r="U219">
        <v>104.111</v>
      </c>
      <c r="V219">
        <v>4</v>
      </c>
    </row>
    <row r="220" spans="1:22" ht="15" customHeight="1" x14ac:dyDescent="0.2">
      <c r="A220" t="s">
        <v>1162</v>
      </c>
      <c r="B220" t="s">
        <v>741</v>
      </c>
      <c r="C220" t="s">
        <v>1163</v>
      </c>
      <c r="D220" t="s">
        <v>16</v>
      </c>
      <c r="E220" s="84">
        <v>43237</v>
      </c>
      <c r="F220">
        <v>240360</v>
      </c>
      <c r="G220">
        <v>11</v>
      </c>
      <c r="H220">
        <v>125771062</v>
      </c>
      <c r="I220" t="s">
        <v>1100</v>
      </c>
      <c r="K220">
        <v>0.46200000000000002</v>
      </c>
      <c r="L220">
        <v>0.78900000000000003</v>
      </c>
      <c r="M220">
        <v>10</v>
      </c>
      <c r="N220">
        <v>-4.1470000000000002</v>
      </c>
      <c r="O220">
        <v>1</v>
      </c>
      <c r="P220">
        <v>7.9500000000000001E-2</v>
      </c>
      <c r="Q220">
        <v>5.3999999999999999E-2</v>
      </c>
      <c r="R220">
        <v>0</v>
      </c>
      <c r="S220">
        <v>0.74199999999999999</v>
      </c>
      <c r="T220">
        <v>0.90200000000000002</v>
      </c>
      <c r="U220">
        <v>200.929</v>
      </c>
      <c r="V220">
        <v>4</v>
      </c>
    </row>
    <row r="221" spans="1:22" ht="15" customHeight="1" x14ac:dyDescent="0.2">
      <c r="A221" t="s">
        <v>1735</v>
      </c>
      <c r="B221" t="s">
        <v>1905</v>
      </c>
      <c r="C221" t="s">
        <v>1736</v>
      </c>
      <c r="D221" t="s">
        <v>363</v>
      </c>
      <c r="E221" s="84">
        <v>26438</v>
      </c>
      <c r="F221">
        <v>281613</v>
      </c>
      <c r="G221">
        <v>84</v>
      </c>
      <c r="H221">
        <v>125771062</v>
      </c>
      <c r="I221" t="s">
        <v>1737</v>
      </c>
      <c r="K221">
        <v>0.60099999999999998</v>
      </c>
      <c r="L221">
        <v>0.53200000000000003</v>
      </c>
      <c r="M221">
        <v>10</v>
      </c>
      <c r="N221">
        <v>-9.1189999999999998</v>
      </c>
      <c r="O221">
        <v>1</v>
      </c>
      <c r="P221">
        <v>2.86E-2</v>
      </c>
      <c r="Q221">
        <v>0.433</v>
      </c>
      <c r="R221">
        <v>5.9499999999999998E-6</v>
      </c>
      <c r="S221">
        <v>9.2499999999999999E-2</v>
      </c>
      <c r="T221">
        <v>0.34200000000000003</v>
      </c>
      <c r="U221">
        <v>136.57599999999999</v>
      </c>
      <c r="V221">
        <v>4</v>
      </c>
    </row>
    <row r="222" spans="1:22" ht="15" customHeight="1" x14ac:dyDescent="0.2">
      <c r="A222" t="s">
        <v>1165</v>
      </c>
      <c r="B222" t="s">
        <v>617</v>
      </c>
      <c r="C222" t="s">
        <v>1166</v>
      </c>
      <c r="D222" t="s">
        <v>618</v>
      </c>
      <c r="E222" s="84">
        <v>38621</v>
      </c>
      <c r="F222">
        <v>252040</v>
      </c>
      <c r="G222">
        <v>67</v>
      </c>
      <c r="H222">
        <v>125771062</v>
      </c>
      <c r="I222" t="s">
        <v>1164</v>
      </c>
      <c r="J222" t="s">
        <v>1848</v>
      </c>
      <c r="K222">
        <v>0.61599999999999999</v>
      </c>
      <c r="L222">
        <v>0.91</v>
      </c>
      <c r="M222">
        <v>0</v>
      </c>
      <c r="N222">
        <v>-3.004</v>
      </c>
      <c r="O222">
        <v>1</v>
      </c>
      <c r="P222">
        <v>3.8600000000000002E-2</v>
      </c>
      <c r="Q222">
        <v>4.5900000000000003E-2</v>
      </c>
      <c r="R222">
        <v>0</v>
      </c>
      <c r="S222">
        <v>0.34300000000000003</v>
      </c>
      <c r="T222">
        <v>0.69299999999999995</v>
      </c>
      <c r="U222">
        <v>144.072</v>
      </c>
      <c r="V222">
        <v>4</v>
      </c>
    </row>
    <row r="223" spans="1:22" ht="15" customHeight="1" x14ac:dyDescent="0.2">
      <c r="A223" t="s">
        <v>1167</v>
      </c>
      <c r="B223" t="s">
        <v>742</v>
      </c>
      <c r="C223">
        <v>21</v>
      </c>
      <c r="D223" t="s">
        <v>228</v>
      </c>
      <c r="E223" s="84">
        <v>40567</v>
      </c>
      <c r="F223">
        <v>228093</v>
      </c>
      <c r="G223">
        <v>80</v>
      </c>
      <c r="H223">
        <v>125771062</v>
      </c>
      <c r="I223" t="s">
        <v>1164</v>
      </c>
      <c r="J223" t="s">
        <v>1783</v>
      </c>
      <c r="K223">
        <v>0.73</v>
      </c>
      <c r="L223">
        <v>0.76900000000000002</v>
      </c>
      <c r="M223">
        <v>8</v>
      </c>
      <c r="N223">
        <v>-5.1139999999999999</v>
      </c>
      <c r="O223">
        <v>1</v>
      </c>
      <c r="P223">
        <v>2.98E-2</v>
      </c>
      <c r="Q223">
        <v>0.13800000000000001</v>
      </c>
      <c r="R223">
        <v>0</v>
      </c>
      <c r="S223">
        <v>4.7300000000000002E-2</v>
      </c>
      <c r="T223">
        <v>0.50700000000000001</v>
      </c>
      <c r="U223">
        <v>104.94799999999999</v>
      </c>
      <c r="V223">
        <v>4</v>
      </c>
    </row>
    <row r="224" spans="1:22" ht="15" customHeight="1" x14ac:dyDescent="0.2">
      <c r="A224" t="s">
        <v>1168</v>
      </c>
      <c r="B224" t="s">
        <v>623</v>
      </c>
      <c r="C224" t="s">
        <v>1169</v>
      </c>
      <c r="D224" t="s">
        <v>624</v>
      </c>
      <c r="E224" s="84">
        <v>41544</v>
      </c>
      <c r="F224">
        <v>190185</v>
      </c>
      <c r="G224">
        <v>81</v>
      </c>
      <c r="H224">
        <v>125771062</v>
      </c>
      <c r="I224" t="s">
        <v>1164</v>
      </c>
      <c r="K224">
        <v>0.67400000000000004</v>
      </c>
      <c r="L224">
        <v>0.42599999999999999</v>
      </c>
      <c r="M224">
        <v>7</v>
      </c>
      <c r="N224">
        <v>-9.5039999999999996</v>
      </c>
      <c r="O224">
        <v>1</v>
      </c>
      <c r="P224">
        <v>0.122</v>
      </c>
      <c r="Q224">
        <v>0.12</v>
      </c>
      <c r="R224">
        <v>0</v>
      </c>
      <c r="S224">
        <v>0.13200000000000001</v>
      </c>
      <c r="T224">
        <v>0.33700000000000002</v>
      </c>
      <c r="U224">
        <v>84.876000000000005</v>
      </c>
      <c r="V224">
        <v>4</v>
      </c>
    </row>
    <row r="225" spans="1:22" ht="15" customHeight="1" x14ac:dyDescent="0.2">
      <c r="A225" t="s">
        <v>1170</v>
      </c>
      <c r="B225" t="s">
        <v>743</v>
      </c>
      <c r="C225" t="s">
        <v>1171</v>
      </c>
      <c r="D225" t="s">
        <v>366</v>
      </c>
      <c r="E225" s="84">
        <v>40885</v>
      </c>
      <c r="F225">
        <v>199346</v>
      </c>
      <c r="G225">
        <v>41</v>
      </c>
      <c r="H225">
        <v>125771062</v>
      </c>
      <c r="I225" t="s">
        <v>1164</v>
      </c>
      <c r="K225">
        <v>0.61</v>
      </c>
      <c r="L225">
        <v>0.27200000000000002</v>
      </c>
      <c r="M225">
        <v>2</v>
      </c>
      <c r="N225">
        <v>-10.071</v>
      </c>
      <c r="O225">
        <v>1</v>
      </c>
      <c r="P225">
        <v>2.86E-2</v>
      </c>
      <c r="Q225">
        <v>0.88800000000000001</v>
      </c>
      <c r="R225">
        <v>7.1099999999999997E-6</v>
      </c>
      <c r="S225">
        <v>0.245</v>
      </c>
      <c r="T225">
        <v>0.60799999999999998</v>
      </c>
      <c r="U225">
        <v>107.116</v>
      </c>
      <c r="V225">
        <v>4</v>
      </c>
    </row>
    <row r="226" spans="1:22" ht="15" customHeight="1" x14ac:dyDescent="0.2">
      <c r="A226" t="s">
        <v>1738</v>
      </c>
      <c r="B226" t="s">
        <v>1739</v>
      </c>
      <c r="C226" t="s">
        <v>1739</v>
      </c>
      <c r="D226" t="s">
        <v>1906</v>
      </c>
      <c r="E226" s="84">
        <v>43637</v>
      </c>
      <c r="F226">
        <v>190960</v>
      </c>
      <c r="G226">
        <v>80</v>
      </c>
      <c r="H226">
        <v>125771062</v>
      </c>
      <c r="I226" t="s">
        <v>1740</v>
      </c>
      <c r="K226">
        <v>0.75900000000000001</v>
      </c>
      <c r="L226">
        <v>0.54</v>
      </c>
      <c r="M226">
        <v>9</v>
      </c>
      <c r="N226">
        <v>-6.0389999999999997</v>
      </c>
      <c r="O226">
        <v>0</v>
      </c>
      <c r="P226">
        <v>2.87E-2</v>
      </c>
      <c r="Q226">
        <v>3.6999999999999998E-2</v>
      </c>
      <c r="R226">
        <v>0</v>
      </c>
      <c r="S226">
        <v>9.4500000000000001E-2</v>
      </c>
      <c r="T226">
        <v>0.75</v>
      </c>
      <c r="U226">
        <v>116.947</v>
      </c>
      <c r="V226">
        <v>4</v>
      </c>
    </row>
    <row r="227" spans="1:22" ht="15" customHeight="1" x14ac:dyDescent="0.2">
      <c r="A227" t="s">
        <v>1172</v>
      </c>
      <c r="B227" t="s">
        <v>559</v>
      </c>
      <c r="C227" t="s">
        <v>1907</v>
      </c>
      <c r="D227" t="s">
        <v>1908</v>
      </c>
      <c r="E227" s="84">
        <v>28817</v>
      </c>
      <c r="F227">
        <v>215005</v>
      </c>
      <c r="G227">
        <v>76</v>
      </c>
      <c r="H227">
        <v>125771062</v>
      </c>
      <c r="I227" t="s">
        <v>1164</v>
      </c>
      <c r="J227" t="s">
        <v>1909</v>
      </c>
      <c r="K227">
        <v>0.69699999999999995</v>
      </c>
      <c r="L227">
        <v>0.83199999999999996</v>
      </c>
      <c r="M227">
        <v>9</v>
      </c>
      <c r="N227">
        <v>-7.2640000000000002</v>
      </c>
      <c r="O227">
        <v>1</v>
      </c>
      <c r="P227">
        <v>2.98E-2</v>
      </c>
      <c r="Q227">
        <v>0.16800000000000001</v>
      </c>
      <c r="R227">
        <v>1.31E-3</v>
      </c>
      <c r="S227">
        <v>0.26900000000000002</v>
      </c>
      <c r="T227">
        <v>0.97899999999999998</v>
      </c>
      <c r="U227">
        <v>125.926</v>
      </c>
      <c r="V227">
        <v>4</v>
      </c>
    </row>
    <row r="228" spans="1:22" ht="15" customHeight="1" x14ac:dyDescent="0.2">
      <c r="A228" t="s">
        <v>1173</v>
      </c>
      <c r="B228" t="s">
        <v>367</v>
      </c>
      <c r="C228" t="s">
        <v>1174</v>
      </c>
      <c r="D228" t="s">
        <v>744</v>
      </c>
      <c r="E228" s="84">
        <v>37712</v>
      </c>
      <c r="F228">
        <v>232106</v>
      </c>
      <c r="G228">
        <v>86</v>
      </c>
      <c r="H228">
        <v>125771062</v>
      </c>
      <c r="I228" t="s">
        <v>1164</v>
      </c>
      <c r="J228" t="s">
        <v>1849</v>
      </c>
      <c r="K228">
        <v>0.74299999999999999</v>
      </c>
      <c r="L228">
        <v>0.44600000000000001</v>
      </c>
      <c r="M228">
        <v>4</v>
      </c>
      <c r="N228">
        <v>-7.8070000000000004</v>
      </c>
      <c r="O228">
        <v>0</v>
      </c>
      <c r="P228">
        <v>6.83E-2</v>
      </c>
      <c r="Q228">
        <v>3.8999999999999998E-3</v>
      </c>
      <c r="R228">
        <v>0.11799999999999999</v>
      </c>
      <c r="S228">
        <v>0.33700000000000002</v>
      </c>
      <c r="T228">
        <v>0.27800000000000002</v>
      </c>
      <c r="U228">
        <v>123.596</v>
      </c>
      <c r="V228">
        <v>4</v>
      </c>
    </row>
    <row r="229" spans="1:22" ht="15" customHeight="1" x14ac:dyDescent="0.2">
      <c r="A229" t="s">
        <v>1620</v>
      </c>
      <c r="B229" t="s">
        <v>1619</v>
      </c>
      <c r="C229" t="s">
        <v>1621</v>
      </c>
      <c r="D229" t="s">
        <v>446</v>
      </c>
      <c r="E229" s="84">
        <v>34029</v>
      </c>
      <c r="F229">
        <v>279226</v>
      </c>
      <c r="G229">
        <v>79</v>
      </c>
      <c r="H229">
        <v>125771062</v>
      </c>
      <c r="I229" t="s">
        <v>1622</v>
      </c>
      <c r="J229" t="s">
        <v>1787</v>
      </c>
      <c r="K229">
        <v>0.53700000000000003</v>
      </c>
      <c r="L229">
        <v>0.372</v>
      </c>
      <c r="M229">
        <v>6</v>
      </c>
      <c r="N229">
        <v>-10.08</v>
      </c>
      <c r="O229">
        <v>0</v>
      </c>
      <c r="P229">
        <v>3.3099999999999997E-2</v>
      </c>
      <c r="Q229">
        <v>0.69299999999999995</v>
      </c>
      <c r="R229">
        <v>1.07E-3</v>
      </c>
      <c r="S229">
        <v>8.3000000000000004E-2</v>
      </c>
      <c r="T229">
        <v>0.24399999999999999</v>
      </c>
      <c r="U229">
        <v>83.94</v>
      </c>
      <c r="V229">
        <v>4</v>
      </c>
    </row>
    <row r="230" spans="1:22" ht="15" customHeight="1" x14ac:dyDescent="0.2">
      <c r="A230" t="s">
        <v>1175</v>
      </c>
      <c r="B230" t="s">
        <v>745</v>
      </c>
      <c r="C230" t="s">
        <v>1176</v>
      </c>
      <c r="D230" t="s">
        <v>596</v>
      </c>
      <c r="E230" s="84">
        <v>43200</v>
      </c>
      <c r="F230">
        <v>242973</v>
      </c>
      <c r="G230">
        <v>38</v>
      </c>
      <c r="H230">
        <v>125771062</v>
      </c>
      <c r="I230" t="s">
        <v>1164</v>
      </c>
      <c r="J230" t="s">
        <v>1823</v>
      </c>
      <c r="K230">
        <v>0.63500000000000001</v>
      </c>
      <c r="L230">
        <v>0.94299999999999995</v>
      </c>
      <c r="M230">
        <v>1</v>
      </c>
      <c r="N230">
        <v>-4.6449999999999996</v>
      </c>
      <c r="O230">
        <v>1</v>
      </c>
      <c r="P230">
        <v>7.5999999999999998E-2</v>
      </c>
      <c r="Q230">
        <v>7.0500000000000001E-4</v>
      </c>
      <c r="R230">
        <v>8.2300000000000008E-6</v>
      </c>
      <c r="S230">
        <v>0.26300000000000001</v>
      </c>
      <c r="T230">
        <v>0.90600000000000003</v>
      </c>
      <c r="U230">
        <v>143.84100000000001</v>
      </c>
      <c r="V230">
        <v>4</v>
      </c>
    </row>
    <row r="231" spans="1:22" ht="15" customHeight="1" x14ac:dyDescent="0.2">
      <c r="A231" t="s">
        <v>1177</v>
      </c>
      <c r="B231" t="s">
        <v>371</v>
      </c>
      <c r="C231" t="s">
        <v>1178</v>
      </c>
      <c r="D231" t="s">
        <v>206</v>
      </c>
      <c r="E231" s="84">
        <v>37432</v>
      </c>
      <c r="F231">
        <v>257133</v>
      </c>
      <c r="G231">
        <v>75</v>
      </c>
      <c r="H231">
        <v>125771062</v>
      </c>
      <c r="I231" t="s">
        <v>1164</v>
      </c>
      <c r="J231" t="s">
        <v>793</v>
      </c>
      <c r="K231">
        <v>0.70599999999999996</v>
      </c>
      <c r="L231">
        <v>0.71299999999999997</v>
      </c>
      <c r="M231">
        <v>0</v>
      </c>
      <c r="N231">
        <v>-5.5119999999999996</v>
      </c>
      <c r="O231">
        <v>0</v>
      </c>
      <c r="P231">
        <v>3.0099999999999998E-2</v>
      </c>
      <c r="Q231">
        <v>5.96E-2</v>
      </c>
      <c r="R231">
        <v>0</v>
      </c>
      <c r="S231">
        <v>0.13200000000000001</v>
      </c>
      <c r="T231">
        <v>0.54400000000000004</v>
      </c>
      <c r="U231">
        <v>102.032</v>
      </c>
      <c r="V231">
        <v>4</v>
      </c>
    </row>
    <row r="232" spans="1:22" ht="15" customHeight="1" x14ac:dyDescent="0.2">
      <c r="A232" t="s">
        <v>1592</v>
      </c>
      <c r="B232" t="s">
        <v>1590</v>
      </c>
      <c r="C232" t="s">
        <v>1593</v>
      </c>
      <c r="D232" t="s">
        <v>103</v>
      </c>
      <c r="E232" s="84">
        <v>43182</v>
      </c>
      <c r="F232">
        <v>201287</v>
      </c>
      <c r="G232">
        <v>78</v>
      </c>
      <c r="H232">
        <v>125771062</v>
      </c>
      <c r="I232" t="s">
        <v>1594</v>
      </c>
      <c r="K232">
        <v>0.67300000000000004</v>
      </c>
      <c r="L232">
        <v>0.73499999999999999</v>
      </c>
      <c r="M232">
        <v>5</v>
      </c>
      <c r="N232">
        <v>-4.7329999999999997</v>
      </c>
      <c r="O232">
        <v>1</v>
      </c>
      <c r="P232">
        <v>4.5699999999999998E-2</v>
      </c>
      <c r="Q232">
        <v>0.28599999999999998</v>
      </c>
      <c r="R232">
        <v>0</v>
      </c>
      <c r="S232">
        <v>0.24199999999999999</v>
      </c>
      <c r="T232">
        <v>0.754</v>
      </c>
      <c r="U232">
        <v>115.744</v>
      </c>
      <c r="V232">
        <v>4</v>
      </c>
    </row>
    <row r="233" spans="1:22" ht="15" customHeight="1" x14ac:dyDescent="0.2">
      <c r="A233" t="s">
        <v>1179</v>
      </c>
      <c r="B233" t="s">
        <v>1910</v>
      </c>
      <c r="C233" t="s">
        <v>1910</v>
      </c>
      <c r="D233" t="s">
        <v>598</v>
      </c>
      <c r="E233" s="84">
        <v>43159</v>
      </c>
      <c r="F233">
        <v>177918</v>
      </c>
      <c r="G233">
        <v>52</v>
      </c>
      <c r="H233">
        <v>125771062</v>
      </c>
      <c r="I233" t="s">
        <v>1164</v>
      </c>
      <c r="K233">
        <v>0.441</v>
      </c>
      <c r="L233">
        <v>0.13800000000000001</v>
      </c>
      <c r="M233">
        <v>11</v>
      </c>
      <c r="N233">
        <v>-12.135999999999999</v>
      </c>
      <c r="O233">
        <v>1</v>
      </c>
      <c r="P233">
        <v>3.5200000000000002E-2</v>
      </c>
      <c r="Q233">
        <v>0.93</v>
      </c>
      <c r="R233">
        <v>2.3000000000000001E-4</v>
      </c>
      <c r="S233">
        <v>0.105</v>
      </c>
      <c r="T233">
        <v>0.11899999999999999</v>
      </c>
      <c r="U233">
        <v>85.492000000000004</v>
      </c>
      <c r="V233">
        <v>4</v>
      </c>
    </row>
    <row r="234" spans="1:22" ht="15" customHeight="1" x14ac:dyDescent="0.2">
      <c r="A234" t="s">
        <v>1180</v>
      </c>
      <c r="B234" t="s">
        <v>373</v>
      </c>
      <c r="C234" t="s">
        <v>373</v>
      </c>
      <c r="D234" t="s">
        <v>228</v>
      </c>
      <c r="E234" s="84">
        <v>41186</v>
      </c>
      <c r="F234">
        <v>286081</v>
      </c>
      <c r="G234">
        <v>86</v>
      </c>
      <c r="H234">
        <v>125771062</v>
      </c>
      <c r="I234" t="s">
        <v>1164</v>
      </c>
      <c r="J234" t="s">
        <v>1783</v>
      </c>
      <c r="K234">
        <v>0.34599999999999997</v>
      </c>
      <c r="L234">
        <v>0.55200000000000005</v>
      </c>
      <c r="M234">
        <v>0</v>
      </c>
      <c r="N234">
        <v>-6.8639999999999999</v>
      </c>
      <c r="O234">
        <v>0</v>
      </c>
      <c r="P234">
        <v>2.8199999999999999E-2</v>
      </c>
      <c r="Q234">
        <v>0.41699999999999998</v>
      </c>
      <c r="R234">
        <v>0</v>
      </c>
      <c r="S234">
        <v>0.114</v>
      </c>
      <c r="T234">
        <v>7.8899999999999998E-2</v>
      </c>
      <c r="U234">
        <v>75.881</v>
      </c>
      <c r="V234">
        <v>4</v>
      </c>
    </row>
    <row r="235" spans="1:22" ht="15" customHeight="1" x14ac:dyDescent="0.2">
      <c r="A235" t="s">
        <v>1741</v>
      </c>
      <c r="B235" t="s">
        <v>1742</v>
      </c>
      <c r="C235" t="s">
        <v>1743</v>
      </c>
      <c r="D235" t="s">
        <v>1744</v>
      </c>
      <c r="E235" s="84">
        <v>33507</v>
      </c>
      <c r="F235">
        <v>301920</v>
      </c>
      <c r="G235">
        <v>83</v>
      </c>
      <c r="H235">
        <v>125771062</v>
      </c>
      <c r="I235" t="s">
        <v>1745</v>
      </c>
      <c r="J235" t="s">
        <v>1850</v>
      </c>
      <c r="K235">
        <v>0.502</v>
      </c>
      <c r="L235">
        <v>0.91200000000000003</v>
      </c>
      <c r="M235">
        <v>1</v>
      </c>
      <c r="N235">
        <v>-4.556</v>
      </c>
      <c r="O235">
        <v>1</v>
      </c>
      <c r="P235">
        <v>5.6399999999999999E-2</v>
      </c>
      <c r="Q235">
        <v>2.55E-5</v>
      </c>
      <c r="R235">
        <v>1.73E-4</v>
      </c>
      <c r="S235">
        <v>0.106</v>
      </c>
      <c r="T235">
        <v>0.72</v>
      </c>
      <c r="U235">
        <v>116.761</v>
      </c>
      <c r="V235">
        <v>4</v>
      </c>
    </row>
    <row r="236" spans="1:22" ht="15" customHeight="1" x14ac:dyDescent="0.2">
      <c r="A236" t="s">
        <v>1181</v>
      </c>
      <c r="B236" t="s">
        <v>746</v>
      </c>
      <c r="C236" t="s">
        <v>1182</v>
      </c>
      <c r="D236" t="s">
        <v>1911</v>
      </c>
      <c r="E236" s="84">
        <v>36326</v>
      </c>
      <c r="F236">
        <v>294986</v>
      </c>
      <c r="G236">
        <v>73</v>
      </c>
      <c r="H236">
        <v>125771062</v>
      </c>
      <c r="I236" t="s">
        <v>1164</v>
      </c>
      <c r="K236">
        <v>0.60899999999999999</v>
      </c>
      <c r="L236">
        <v>0.92300000000000004</v>
      </c>
      <c r="M236">
        <v>9</v>
      </c>
      <c r="N236">
        <v>-3.9079999999999999</v>
      </c>
      <c r="O236">
        <v>1</v>
      </c>
      <c r="P236">
        <v>3.3799999999999997E-2</v>
      </c>
      <c r="Q236">
        <v>0.16</v>
      </c>
      <c r="R236">
        <v>4.7299999999999996E-6</v>
      </c>
      <c r="S236">
        <v>0.29499999999999998</v>
      </c>
      <c r="T236">
        <v>0.96099999999999997</v>
      </c>
      <c r="U236">
        <v>115.996</v>
      </c>
      <c r="V236">
        <v>4</v>
      </c>
    </row>
    <row r="237" spans="1:22" ht="15" customHeight="1" x14ac:dyDescent="0.2">
      <c r="A237" t="s">
        <v>1629</v>
      </c>
      <c r="B237" t="s">
        <v>1630</v>
      </c>
      <c r="C237" t="s">
        <v>1631</v>
      </c>
      <c r="D237" t="s">
        <v>375</v>
      </c>
      <c r="E237" s="84">
        <v>34638</v>
      </c>
      <c r="F237">
        <v>258693</v>
      </c>
      <c r="G237">
        <v>84</v>
      </c>
      <c r="H237">
        <v>125771062</v>
      </c>
      <c r="I237" t="s">
        <v>1632</v>
      </c>
      <c r="K237">
        <v>0.73399999999999999</v>
      </c>
      <c r="L237">
        <v>0.57999999999999996</v>
      </c>
      <c r="M237">
        <v>9</v>
      </c>
      <c r="N237">
        <v>-6.6189999999999998</v>
      </c>
      <c r="O237">
        <v>0</v>
      </c>
      <c r="P237">
        <v>3.2099999999999997E-2</v>
      </c>
      <c r="Q237">
        <v>0.23799999999999999</v>
      </c>
      <c r="R237">
        <v>5.9999999999999995E-4</v>
      </c>
      <c r="S237">
        <v>2.98E-2</v>
      </c>
      <c r="T237">
        <v>0.96199999999999997</v>
      </c>
      <c r="U237">
        <v>119.336</v>
      </c>
      <c r="V237">
        <v>4</v>
      </c>
    </row>
    <row r="238" spans="1:22" ht="15" customHeight="1" x14ac:dyDescent="0.2">
      <c r="A238" t="s">
        <v>1183</v>
      </c>
      <c r="B238" t="s">
        <v>376</v>
      </c>
      <c r="C238" t="s">
        <v>1184</v>
      </c>
      <c r="D238" t="s">
        <v>110</v>
      </c>
      <c r="E238" s="84">
        <v>38846</v>
      </c>
      <c r="F238">
        <v>334666</v>
      </c>
      <c r="G238">
        <v>84</v>
      </c>
      <c r="H238">
        <v>125771062</v>
      </c>
      <c r="I238" t="s">
        <v>1164</v>
      </c>
      <c r="J238" t="s">
        <v>1796</v>
      </c>
      <c r="K238">
        <v>0.42699999999999999</v>
      </c>
      <c r="L238">
        <v>0.9</v>
      </c>
      <c r="M238">
        <v>11</v>
      </c>
      <c r="N238">
        <v>-3.6739999999999999</v>
      </c>
      <c r="O238">
        <v>1</v>
      </c>
      <c r="P238">
        <v>4.99E-2</v>
      </c>
      <c r="Q238">
        <v>0.11600000000000001</v>
      </c>
      <c r="R238">
        <v>1.7499999999999998E-5</v>
      </c>
      <c r="S238">
        <v>0.11899999999999999</v>
      </c>
      <c r="T238">
        <v>0.59899999999999998</v>
      </c>
      <c r="U238">
        <v>104.655</v>
      </c>
      <c r="V238">
        <v>4</v>
      </c>
    </row>
    <row r="239" spans="1:22" ht="15" customHeight="1" x14ac:dyDescent="0.2">
      <c r="A239" t="s">
        <v>1348</v>
      </c>
      <c r="B239" t="s">
        <v>1349</v>
      </c>
      <c r="C239" t="s">
        <v>1350</v>
      </c>
      <c r="D239" t="s">
        <v>1912</v>
      </c>
      <c r="E239" s="84">
        <v>40544</v>
      </c>
      <c r="F239">
        <v>244973</v>
      </c>
      <c r="G239">
        <v>79</v>
      </c>
      <c r="H239">
        <v>125771062</v>
      </c>
      <c r="I239" t="s">
        <v>1351</v>
      </c>
      <c r="K239">
        <v>0.86399999999999999</v>
      </c>
      <c r="L239">
        <v>0.495</v>
      </c>
      <c r="M239">
        <v>0</v>
      </c>
      <c r="N239">
        <v>-7.0359999999999996</v>
      </c>
      <c r="O239">
        <v>1</v>
      </c>
      <c r="P239">
        <v>3.6999999999999998E-2</v>
      </c>
      <c r="Q239">
        <v>0.59099999999999997</v>
      </c>
      <c r="R239">
        <v>1.3300000000000001E-4</v>
      </c>
      <c r="S239">
        <v>9.9199999999999997E-2</v>
      </c>
      <c r="T239">
        <v>0.72</v>
      </c>
      <c r="U239">
        <v>129.06200000000001</v>
      </c>
      <c r="V239">
        <v>4</v>
      </c>
    </row>
    <row r="240" spans="1:22" ht="15" customHeight="1" x14ac:dyDescent="0.2">
      <c r="A240" t="s">
        <v>1185</v>
      </c>
      <c r="B240" t="s">
        <v>377</v>
      </c>
      <c r="C240">
        <v>21</v>
      </c>
      <c r="D240" t="s">
        <v>228</v>
      </c>
      <c r="E240" s="84">
        <v>40567</v>
      </c>
      <c r="F240">
        <v>285240</v>
      </c>
      <c r="G240">
        <v>80</v>
      </c>
      <c r="H240">
        <v>125771062</v>
      </c>
      <c r="I240" t="s">
        <v>1164</v>
      </c>
      <c r="J240" t="s">
        <v>1783</v>
      </c>
      <c r="K240">
        <v>0.55600000000000005</v>
      </c>
      <c r="L240">
        <v>0.31900000000000001</v>
      </c>
      <c r="M240">
        <v>9</v>
      </c>
      <c r="N240">
        <v>-8.2509999999999994</v>
      </c>
      <c r="O240">
        <v>1</v>
      </c>
      <c r="P240">
        <v>2.81E-2</v>
      </c>
      <c r="Q240">
        <v>0.89300000000000002</v>
      </c>
      <c r="R240">
        <v>0</v>
      </c>
      <c r="S240">
        <v>9.9599999999999994E-2</v>
      </c>
      <c r="T240">
        <v>0.29399999999999998</v>
      </c>
      <c r="U240">
        <v>135.18700000000001</v>
      </c>
      <c r="V240">
        <v>4</v>
      </c>
    </row>
    <row r="241" spans="1:22" ht="15" customHeight="1" x14ac:dyDescent="0.2">
      <c r="A241" t="s">
        <v>1644</v>
      </c>
      <c r="B241" t="s">
        <v>1645</v>
      </c>
      <c r="C241" t="s">
        <v>1646</v>
      </c>
      <c r="D241" t="s">
        <v>1913</v>
      </c>
      <c r="E241" t="s">
        <v>1647</v>
      </c>
      <c r="F241">
        <v>162493</v>
      </c>
      <c r="G241">
        <v>79</v>
      </c>
      <c r="H241">
        <v>125771062</v>
      </c>
      <c r="I241" t="s">
        <v>1648</v>
      </c>
      <c r="J241" t="s">
        <v>1883</v>
      </c>
      <c r="K241">
        <v>0.25700000000000001</v>
      </c>
      <c r="L241">
        <v>0.33800000000000002</v>
      </c>
      <c r="M241">
        <v>4</v>
      </c>
      <c r="N241">
        <v>-12.901999999999999</v>
      </c>
      <c r="O241">
        <v>1</v>
      </c>
      <c r="P241">
        <v>3.5700000000000003E-2</v>
      </c>
      <c r="Q241">
        <v>0.73599999999999999</v>
      </c>
      <c r="R241">
        <v>0</v>
      </c>
      <c r="S241">
        <v>0.252</v>
      </c>
      <c r="T241">
        <v>0.54400000000000004</v>
      </c>
      <c r="U241">
        <v>207.35599999999999</v>
      </c>
      <c r="V241">
        <v>4</v>
      </c>
    </row>
    <row r="242" spans="1:22" ht="15" customHeight="1" x14ac:dyDescent="0.2">
      <c r="A242" t="s">
        <v>1186</v>
      </c>
      <c r="B242" t="s">
        <v>608</v>
      </c>
      <c r="C242" t="s">
        <v>1187</v>
      </c>
      <c r="D242" t="s">
        <v>609</v>
      </c>
      <c r="E242" s="84">
        <v>25293</v>
      </c>
      <c r="F242">
        <v>149160</v>
      </c>
      <c r="G242">
        <v>68</v>
      </c>
      <c r="H242">
        <v>125771062</v>
      </c>
      <c r="I242" t="s">
        <v>1164</v>
      </c>
      <c r="K242">
        <v>0.40100000000000002</v>
      </c>
      <c r="L242">
        <v>0.498</v>
      </c>
      <c r="M242">
        <v>4</v>
      </c>
      <c r="N242">
        <v>-10.682</v>
      </c>
      <c r="O242">
        <v>1</v>
      </c>
      <c r="P242">
        <v>7.5700000000000003E-2</v>
      </c>
      <c r="Q242">
        <v>0.39400000000000002</v>
      </c>
      <c r="R242">
        <v>0</v>
      </c>
      <c r="S242">
        <v>0.13</v>
      </c>
      <c r="T242">
        <v>0.81599999999999995</v>
      </c>
      <c r="U242">
        <v>181.70099999999999</v>
      </c>
      <c r="V242">
        <v>4</v>
      </c>
    </row>
    <row r="243" spans="1:22" ht="15" customHeight="1" x14ac:dyDescent="0.2">
      <c r="A243" t="s">
        <v>1188</v>
      </c>
      <c r="B243" t="s">
        <v>603</v>
      </c>
      <c r="C243" t="s">
        <v>1189</v>
      </c>
      <c r="D243" t="s">
        <v>138</v>
      </c>
      <c r="E243" s="84">
        <v>39448</v>
      </c>
      <c r="F243">
        <v>201360</v>
      </c>
      <c r="G243">
        <v>67</v>
      </c>
      <c r="H243">
        <v>125771062</v>
      </c>
      <c r="I243" t="s">
        <v>1164</v>
      </c>
      <c r="K243">
        <v>0.39300000000000002</v>
      </c>
      <c r="L243">
        <v>0.71899999999999997</v>
      </c>
      <c r="M243">
        <v>5</v>
      </c>
      <c r="N243">
        <v>-4.7729999999999997</v>
      </c>
      <c r="O243">
        <v>1</v>
      </c>
      <c r="P243">
        <v>2.7900000000000001E-2</v>
      </c>
      <c r="Q243">
        <v>6.2899999999999998E-2</v>
      </c>
      <c r="R243">
        <v>4.3200000000000001E-3</v>
      </c>
      <c r="S243">
        <v>0.219</v>
      </c>
      <c r="T243">
        <v>0.497</v>
      </c>
      <c r="U243">
        <v>124.35299999999999</v>
      </c>
      <c r="V243">
        <v>4</v>
      </c>
    </row>
    <row r="244" spans="1:22" ht="15" customHeight="1" x14ac:dyDescent="0.2">
      <c r="A244" t="s">
        <v>1190</v>
      </c>
      <c r="B244" t="s">
        <v>378</v>
      </c>
      <c r="C244" t="s">
        <v>1191</v>
      </c>
      <c r="D244" t="s">
        <v>158</v>
      </c>
      <c r="E244">
        <v>2002</v>
      </c>
      <c r="F244">
        <v>154786</v>
      </c>
      <c r="G244">
        <v>31</v>
      </c>
      <c r="H244">
        <v>125771062</v>
      </c>
      <c r="I244" t="s">
        <v>1164</v>
      </c>
      <c r="J244" t="s">
        <v>1804</v>
      </c>
      <c r="K244">
        <v>0.52500000000000002</v>
      </c>
      <c r="L244">
        <v>0.34399999999999997</v>
      </c>
      <c r="M244">
        <v>7</v>
      </c>
      <c r="N244">
        <v>-8.9359999999999999</v>
      </c>
      <c r="O244">
        <v>1</v>
      </c>
      <c r="P244">
        <v>3.4799999999999998E-2</v>
      </c>
      <c r="Q244">
        <v>0.48199999999999998</v>
      </c>
      <c r="R244">
        <v>0</v>
      </c>
      <c r="S244">
        <v>0.41499999999999998</v>
      </c>
      <c r="T244">
        <v>0.59899999999999998</v>
      </c>
      <c r="U244">
        <v>155.608</v>
      </c>
      <c r="V244">
        <v>4</v>
      </c>
    </row>
    <row r="245" spans="1:22" ht="15" customHeight="1" x14ac:dyDescent="0.2">
      <c r="A245" t="s">
        <v>1192</v>
      </c>
      <c r="B245" t="s">
        <v>382</v>
      </c>
      <c r="C245" t="s">
        <v>1193</v>
      </c>
      <c r="D245" t="s">
        <v>383</v>
      </c>
      <c r="E245" s="84">
        <v>22878</v>
      </c>
      <c r="F245">
        <v>180055</v>
      </c>
      <c r="G245">
        <v>81</v>
      </c>
      <c r="H245">
        <v>125771062</v>
      </c>
      <c r="I245" t="s">
        <v>1164</v>
      </c>
      <c r="J245" t="s">
        <v>1785</v>
      </c>
      <c r="K245">
        <v>0.65</v>
      </c>
      <c r="L245">
        <v>0.30599999999999999</v>
      </c>
      <c r="M245">
        <v>9</v>
      </c>
      <c r="N245">
        <v>-9.4429999999999996</v>
      </c>
      <c r="O245">
        <v>1</v>
      </c>
      <c r="P245">
        <v>3.9300000000000002E-2</v>
      </c>
      <c r="Q245">
        <v>0.56999999999999995</v>
      </c>
      <c r="R245">
        <v>7.0700000000000001E-6</v>
      </c>
      <c r="S245">
        <v>7.0699999999999999E-2</v>
      </c>
      <c r="T245">
        <v>0.60499999999999998</v>
      </c>
      <c r="U245">
        <v>118.068</v>
      </c>
      <c r="V245">
        <v>4</v>
      </c>
    </row>
    <row r="246" spans="1:22" ht="15" customHeight="1" x14ac:dyDescent="0.2">
      <c r="A246" t="s">
        <v>1194</v>
      </c>
      <c r="B246" t="s">
        <v>384</v>
      </c>
      <c r="C246" t="s">
        <v>1195</v>
      </c>
      <c r="D246" t="s">
        <v>385</v>
      </c>
      <c r="E246" s="84">
        <v>37558</v>
      </c>
      <c r="F246">
        <v>229253</v>
      </c>
      <c r="G246">
        <v>56</v>
      </c>
      <c r="H246">
        <v>125771062</v>
      </c>
      <c r="I246" t="s">
        <v>1164</v>
      </c>
      <c r="J246" t="s">
        <v>1851</v>
      </c>
      <c r="K246">
        <v>0.753</v>
      </c>
      <c r="L246">
        <v>0.51600000000000001</v>
      </c>
      <c r="M246">
        <v>10</v>
      </c>
      <c r="N246">
        <v>-5.5819999999999999</v>
      </c>
      <c r="O246">
        <v>1</v>
      </c>
      <c r="P246">
        <v>8.1199999999999994E-2</v>
      </c>
      <c r="Q246">
        <v>6.2399999999999997E-2</v>
      </c>
      <c r="R246">
        <v>0</v>
      </c>
      <c r="S246">
        <v>0.26900000000000002</v>
      </c>
      <c r="T246">
        <v>0.67300000000000004</v>
      </c>
      <c r="U246">
        <v>85.995999999999995</v>
      </c>
      <c r="V246">
        <v>4</v>
      </c>
    </row>
    <row r="247" spans="1:22" ht="15" customHeight="1" x14ac:dyDescent="0.2">
      <c r="A247" t="s">
        <v>1196</v>
      </c>
      <c r="B247" t="s">
        <v>386</v>
      </c>
      <c r="C247" t="s">
        <v>747</v>
      </c>
      <c r="D247" t="s">
        <v>747</v>
      </c>
      <c r="E247" s="84">
        <v>26299</v>
      </c>
      <c r="F247">
        <v>208946</v>
      </c>
      <c r="G247">
        <v>79</v>
      </c>
      <c r="H247">
        <v>125771062</v>
      </c>
      <c r="I247" t="s">
        <v>1164</v>
      </c>
      <c r="K247">
        <v>0.82</v>
      </c>
      <c r="L247">
        <v>0.57499999999999996</v>
      </c>
      <c r="M247">
        <v>7</v>
      </c>
      <c r="N247">
        <v>-9.1440000000000001</v>
      </c>
      <c r="O247">
        <v>1</v>
      </c>
      <c r="P247">
        <v>4.0800000000000003E-2</v>
      </c>
      <c r="Q247">
        <v>9.3600000000000003E-2</v>
      </c>
      <c r="R247">
        <v>1.35E-4</v>
      </c>
      <c r="S247">
        <v>0.109</v>
      </c>
      <c r="T247">
        <v>0.96399999999999997</v>
      </c>
      <c r="U247">
        <v>123.765</v>
      </c>
      <c r="V247">
        <v>4</v>
      </c>
    </row>
    <row r="248" spans="1:22" ht="15" customHeight="1" x14ac:dyDescent="0.2">
      <c r="A248" t="s">
        <v>1746</v>
      </c>
      <c r="B248" t="s">
        <v>1747</v>
      </c>
      <c r="C248" t="s">
        <v>1018</v>
      </c>
      <c r="D248" t="s">
        <v>229</v>
      </c>
      <c r="E248" s="84">
        <v>30317</v>
      </c>
      <c r="F248">
        <v>192066</v>
      </c>
      <c r="G248">
        <v>74</v>
      </c>
      <c r="H248">
        <v>125771062</v>
      </c>
      <c r="I248" t="s">
        <v>1748</v>
      </c>
      <c r="J248" t="s">
        <v>1821</v>
      </c>
      <c r="K248">
        <v>0.50900000000000001</v>
      </c>
      <c r="L248">
        <v>0.317</v>
      </c>
      <c r="M248">
        <v>5</v>
      </c>
      <c r="N248">
        <v>-16.062999999999999</v>
      </c>
      <c r="O248">
        <v>1</v>
      </c>
      <c r="P248">
        <v>3.0499999999999999E-2</v>
      </c>
      <c r="Q248">
        <v>0.621</v>
      </c>
      <c r="R248">
        <v>5.2800000000000003E-5</v>
      </c>
      <c r="S248">
        <v>8.7800000000000003E-2</v>
      </c>
      <c r="T248">
        <v>0.247</v>
      </c>
      <c r="U248">
        <v>131.78299999999999</v>
      </c>
      <c r="V248">
        <v>4</v>
      </c>
    </row>
    <row r="249" spans="1:22" ht="15" customHeight="1" x14ac:dyDescent="0.2">
      <c r="A249" t="s">
        <v>1749</v>
      </c>
      <c r="B249" t="s">
        <v>1750</v>
      </c>
      <c r="C249" t="s">
        <v>1751</v>
      </c>
      <c r="D249" t="s">
        <v>206</v>
      </c>
      <c r="E249" s="84">
        <v>41884</v>
      </c>
      <c r="F249">
        <v>235506</v>
      </c>
      <c r="G249">
        <v>36</v>
      </c>
      <c r="H249">
        <v>125771062</v>
      </c>
      <c r="I249" t="s">
        <v>1752</v>
      </c>
      <c r="J249" t="s">
        <v>793</v>
      </c>
      <c r="K249">
        <v>0.748</v>
      </c>
      <c r="L249">
        <v>0.76700000000000002</v>
      </c>
      <c r="M249">
        <v>1</v>
      </c>
      <c r="N249">
        <v>-7.0949999999999998</v>
      </c>
      <c r="O249">
        <v>1</v>
      </c>
      <c r="P249">
        <v>3.3300000000000003E-2</v>
      </c>
      <c r="Q249">
        <v>5.21E-2</v>
      </c>
      <c r="R249">
        <v>0</v>
      </c>
      <c r="S249">
        <v>8.5900000000000004E-2</v>
      </c>
      <c r="T249">
        <v>0.9</v>
      </c>
      <c r="U249">
        <v>120.035</v>
      </c>
      <c r="V249">
        <v>4</v>
      </c>
    </row>
    <row r="250" spans="1:22" ht="15" customHeight="1" x14ac:dyDescent="0.2">
      <c r="A250" t="s">
        <v>1197</v>
      </c>
      <c r="B250" t="s">
        <v>1914</v>
      </c>
      <c r="C250" t="s">
        <v>1915</v>
      </c>
      <c r="D250" t="s">
        <v>748</v>
      </c>
      <c r="E250" s="84">
        <v>39393</v>
      </c>
      <c r="F250">
        <v>167186</v>
      </c>
      <c r="G250">
        <v>66</v>
      </c>
      <c r="H250">
        <v>125771062</v>
      </c>
      <c r="I250" t="s">
        <v>1198</v>
      </c>
      <c r="K250">
        <v>0.73599999999999999</v>
      </c>
      <c r="L250">
        <v>0.871</v>
      </c>
      <c r="M250">
        <v>2</v>
      </c>
      <c r="N250">
        <v>-2.786</v>
      </c>
      <c r="O250">
        <v>1</v>
      </c>
      <c r="P250">
        <v>2.7799999999999998E-2</v>
      </c>
      <c r="Q250">
        <v>0.46600000000000003</v>
      </c>
      <c r="R250">
        <v>0</v>
      </c>
      <c r="S250">
        <v>0.108</v>
      </c>
      <c r="T250">
        <v>0.96699999999999997</v>
      </c>
      <c r="U250">
        <v>122.395</v>
      </c>
      <c r="V250">
        <v>4</v>
      </c>
    </row>
    <row r="251" spans="1:22" ht="15" customHeight="1" x14ac:dyDescent="0.2">
      <c r="A251" t="s">
        <v>1199</v>
      </c>
      <c r="B251" t="s">
        <v>749</v>
      </c>
      <c r="C251" t="s">
        <v>391</v>
      </c>
      <c r="D251" t="s">
        <v>391</v>
      </c>
      <c r="E251" s="84">
        <v>28770</v>
      </c>
      <c r="F251">
        <v>348760</v>
      </c>
      <c r="G251">
        <v>76</v>
      </c>
      <c r="H251">
        <v>125771062</v>
      </c>
      <c r="I251" t="s">
        <v>1164</v>
      </c>
      <c r="J251" t="s">
        <v>1813</v>
      </c>
      <c r="K251">
        <v>0.72499999999999998</v>
      </c>
      <c r="L251">
        <v>0.80100000000000005</v>
      </c>
      <c r="M251">
        <v>5</v>
      </c>
      <c r="N251">
        <v>-10.058999999999999</v>
      </c>
      <c r="O251">
        <v>1</v>
      </c>
      <c r="P251">
        <v>3.0200000000000001E-2</v>
      </c>
      <c r="Q251">
        <v>7.22E-2</v>
      </c>
      <c r="R251">
        <v>3.39E-2</v>
      </c>
      <c r="S251">
        <v>0.33900000000000002</v>
      </c>
      <c r="T251">
        <v>0.92500000000000004</v>
      </c>
      <c r="U251">
        <v>148.21100000000001</v>
      </c>
      <c r="V251">
        <v>4</v>
      </c>
    </row>
    <row r="252" spans="1:22" ht="15" customHeight="1" x14ac:dyDescent="0.2">
      <c r="A252" t="s">
        <v>1343</v>
      </c>
      <c r="B252" t="s">
        <v>1332</v>
      </c>
      <c r="C252" t="s">
        <v>1332</v>
      </c>
      <c r="D252" t="s">
        <v>725</v>
      </c>
      <c r="E252" s="84">
        <v>41640</v>
      </c>
      <c r="F252">
        <v>133762</v>
      </c>
      <c r="G252">
        <v>27</v>
      </c>
      <c r="H252">
        <v>125771062</v>
      </c>
      <c r="I252" t="s">
        <v>1344</v>
      </c>
      <c r="K252">
        <v>0.55500000000000005</v>
      </c>
      <c r="L252">
        <v>0.17399999999999999</v>
      </c>
      <c r="M252">
        <v>4</v>
      </c>
      <c r="N252">
        <v>-21.151</v>
      </c>
      <c r="O252">
        <v>1</v>
      </c>
      <c r="P252">
        <v>3.1699999999999999E-2</v>
      </c>
      <c r="Q252">
        <v>0.88400000000000001</v>
      </c>
      <c r="R252">
        <v>6.9600000000000003E-6</v>
      </c>
      <c r="S252">
        <v>0.1</v>
      </c>
      <c r="T252">
        <v>0.65800000000000003</v>
      </c>
      <c r="U252">
        <v>130.261</v>
      </c>
      <c r="V252">
        <v>4</v>
      </c>
    </row>
    <row r="253" spans="1:22" ht="15" customHeight="1" x14ac:dyDescent="0.2">
      <c r="A253" t="s">
        <v>1200</v>
      </c>
      <c r="B253" t="s">
        <v>604</v>
      </c>
      <c r="C253" t="s">
        <v>604</v>
      </c>
      <c r="D253" t="s">
        <v>138</v>
      </c>
      <c r="E253">
        <v>1980</v>
      </c>
      <c r="F253">
        <v>252853</v>
      </c>
      <c r="G253">
        <v>78</v>
      </c>
      <c r="H253">
        <v>125771062</v>
      </c>
      <c r="I253" t="s">
        <v>1164</v>
      </c>
      <c r="K253">
        <v>0.76400000000000001</v>
      </c>
      <c r="L253">
        <v>0.626</v>
      </c>
      <c r="M253">
        <v>0</v>
      </c>
      <c r="N253">
        <v>-8.2739999999999991</v>
      </c>
      <c r="O253">
        <v>1</v>
      </c>
      <c r="P253">
        <v>2.8799999999999999E-2</v>
      </c>
      <c r="Q253">
        <v>0.45700000000000002</v>
      </c>
      <c r="R253">
        <v>6.3500000000000002E-6</v>
      </c>
      <c r="S253">
        <v>0.20100000000000001</v>
      </c>
      <c r="T253">
        <v>0.96099999999999997</v>
      </c>
      <c r="U253">
        <v>118.34</v>
      </c>
      <c r="V253">
        <v>4</v>
      </c>
    </row>
    <row r="254" spans="1:22" ht="15" customHeight="1" x14ac:dyDescent="0.2">
      <c r="A254" t="s">
        <v>1201</v>
      </c>
      <c r="B254" t="s">
        <v>392</v>
      </c>
      <c r="C254" t="s">
        <v>1202</v>
      </c>
      <c r="D254" t="s">
        <v>393</v>
      </c>
      <c r="E254" s="84">
        <v>37257</v>
      </c>
      <c r="F254">
        <v>218813</v>
      </c>
      <c r="G254">
        <v>33</v>
      </c>
      <c r="H254">
        <v>125771062</v>
      </c>
      <c r="I254" t="s">
        <v>1164</v>
      </c>
      <c r="K254">
        <v>0.53500000000000003</v>
      </c>
      <c r="L254">
        <v>0.79</v>
      </c>
      <c r="M254">
        <v>6</v>
      </c>
      <c r="N254">
        <v>-5.6539999999999999</v>
      </c>
      <c r="O254">
        <v>1</v>
      </c>
      <c r="P254">
        <v>3.7499999999999999E-2</v>
      </c>
      <c r="Q254">
        <v>7.0000000000000007E-2</v>
      </c>
      <c r="R254">
        <v>6.1199999999999999E-6</v>
      </c>
      <c r="S254">
        <v>0.129</v>
      </c>
      <c r="T254">
        <v>0.82899999999999996</v>
      </c>
      <c r="U254">
        <v>161.965</v>
      </c>
      <c r="V254">
        <v>4</v>
      </c>
    </row>
    <row r="255" spans="1:22" ht="15" customHeight="1" x14ac:dyDescent="0.2">
      <c r="A255" t="s">
        <v>1203</v>
      </c>
      <c r="B255" t="s">
        <v>750</v>
      </c>
      <c r="C255" t="s">
        <v>978</v>
      </c>
      <c r="D255" t="s">
        <v>28</v>
      </c>
      <c r="E255" s="84">
        <v>38510</v>
      </c>
      <c r="F255">
        <v>239001</v>
      </c>
      <c r="G255">
        <v>56</v>
      </c>
      <c r="H255">
        <v>125771062</v>
      </c>
      <c r="I255" t="s">
        <v>1164</v>
      </c>
      <c r="K255">
        <v>0.26500000000000001</v>
      </c>
      <c r="L255">
        <v>0.378</v>
      </c>
      <c r="M255">
        <v>11</v>
      </c>
      <c r="N255">
        <v>-10.823</v>
      </c>
      <c r="O255">
        <v>1</v>
      </c>
      <c r="P255">
        <v>3.1600000000000003E-2</v>
      </c>
      <c r="Q255">
        <v>5.57E-2</v>
      </c>
      <c r="R255">
        <v>1.2899999999999999E-6</v>
      </c>
      <c r="S255">
        <v>0.11899999999999999</v>
      </c>
      <c r="T255">
        <v>0.153</v>
      </c>
      <c r="U255">
        <v>142.1</v>
      </c>
      <c r="V255">
        <v>4</v>
      </c>
    </row>
    <row r="256" spans="1:22" ht="15" customHeight="1" x14ac:dyDescent="0.2">
      <c r="A256" t="s">
        <v>1204</v>
      </c>
      <c r="B256" t="s">
        <v>395</v>
      </c>
      <c r="C256" t="s">
        <v>689</v>
      </c>
      <c r="D256" t="s">
        <v>689</v>
      </c>
      <c r="E256">
        <v>2003</v>
      </c>
      <c r="F256">
        <v>188066</v>
      </c>
      <c r="G256">
        <v>75</v>
      </c>
      <c r="H256">
        <v>125771062</v>
      </c>
      <c r="I256" t="s">
        <v>1205</v>
      </c>
      <c r="J256" t="s">
        <v>1808</v>
      </c>
      <c r="K256">
        <v>0.71299999999999997</v>
      </c>
      <c r="L256">
        <v>0.63900000000000001</v>
      </c>
      <c r="M256">
        <v>2</v>
      </c>
      <c r="N256">
        <v>-5.5289999999999999</v>
      </c>
      <c r="O256">
        <v>0</v>
      </c>
      <c r="P256">
        <v>3.1300000000000001E-2</v>
      </c>
      <c r="Q256">
        <v>0.753</v>
      </c>
      <c r="R256">
        <v>0</v>
      </c>
      <c r="S256">
        <v>8.7800000000000003E-2</v>
      </c>
      <c r="T256">
        <v>0.73699999999999999</v>
      </c>
      <c r="U256">
        <v>125.959</v>
      </c>
      <c r="V256">
        <v>4</v>
      </c>
    </row>
    <row r="257" spans="1:22" ht="15" customHeight="1" x14ac:dyDescent="0.2">
      <c r="A257" t="s">
        <v>1206</v>
      </c>
      <c r="B257" t="s">
        <v>751</v>
      </c>
      <c r="C257" t="s">
        <v>1207</v>
      </c>
      <c r="D257" t="s">
        <v>752</v>
      </c>
      <c r="E257" s="84">
        <v>31979</v>
      </c>
      <c r="F257">
        <v>356066</v>
      </c>
      <c r="G257">
        <v>90</v>
      </c>
      <c r="H257">
        <v>125771062</v>
      </c>
      <c r="I257" t="s">
        <v>1164</v>
      </c>
      <c r="J257" t="s">
        <v>1852</v>
      </c>
      <c r="K257">
        <v>0.44500000000000001</v>
      </c>
      <c r="L257">
        <v>0.95199999999999996</v>
      </c>
      <c r="M257">
        <v>6</v>
      </c>
      <c r="N257">
        <v>-5.3209999999999997</v>
      </c>
      <c r="O257">
        <v>1</v>
      </c>
      <c r="P257">
        <v>5.2200000000000003E-2</v>
      </c>
      <c r="Q257">
        <v>0.09</v>
      </c>
      <c r="R257">
        <v>8.43E-2</v>
      </c>
      <c r="S257">
        <v>0.112</v>
      </c>
      <c r="T257">
        <v>0.624</v>
      </c>
      <c r="U257">
        <v>125.304</v>
      </c>
      <c r="V257">
        <v>4</v>
      </c>
    </row>
    <row r="258" spans="1:22" ht="15" customHeight="1" x14ac:dyDescent="0.2">
      <c r="A258" t="s">
        <v>1208</v>
      </c>
      <c r="B258" t="s">
        <v>1916</v>
      </c>
      <c r="C258" t="s">
        <v>1209</v>
      </c>
      <c r="D258" t="s">
        <v>441</v>
      </c>
      <c r="E258" s="84">
        <v>28408</v>
      </c>
      <c r="F258">
        <v>181760</v>
      </c>
      <c r="G258">
        <v>43</v>
      </c>
      <c r="H258">
        <v>125771062</v>
      </c>
      <c r="I258" t="s">
        <v>1210</v>
      </c>
      <c r="J258" t="s">
        <v>1853</v>
      </c>
      <c r="K258">
        <v>0.48699999999999999</v>
      </c>
      <c r="L258">
        <v>0.48199999999999998</v>
      </c>
      <c r="M258">
        <v>2</v>
      </c>
      <c r="N258">
        <v>-13.090999999999999</v>
      </c>
      <c r="O258">
        <v>1</v>
      </c>
      <c r="P258">
        <v>4.5900000000000003E-2</v>
      </c>
      <c r="Q258">
        <v>0.16400000000000001</v>
      </c>
      <c r="R258">
        <v>8.6799999999999996E-4</v>
      </c>
      <c r="S258">
        <v>7.7799999999999994E-2</v>
      </c>
      <c r="T258">
        <v>0.91</v>
      </c>
      <c r="U258">
        <v>171.15</v>
      </c>
      <c r="V258">
        <v>4</v>
      </c>
    </row>
    <row r="259" spans="1:22" ht="15" customHeight="1" x14ac:dyDescent="0.2">
      <c r="A259" t="s">
        <v>1211</v>
      </c>
      <c r="B259" t="s">
        <v>1854</v>
      </c>
      <c r="C259" t="s">
        <v>1212</v>
      </c>
      <c r="D259" t="s">
        <v>1917</v>
      </c>
      <c r="E259" s="84">
        <v>30320</v>
      </c>
      <c r="F259">
        <v>216933</v>
      </c>
      <c r="G259">
        <v>86</v>
      </c>
      <c r="H259">
        <v>125771062</v>
      </c>
      <c r="I259" t="s">
        <v>1213</v>
      </c>
      <c r="J259" t="s">
        <v>1855</v>
      </c>
      <c r="K259">
        <v>0.69199999999999995</v>
      </c>
      <c r="L259">
        <v>0.71099999999999997</v>
      </c>
      <c r="M259">
        <v>0</v>
      </c>
      <c r="N259">
        <v>-7.4980000000000002</v>
      </c>
      <c r="O259">
        <v>0</v>
      </c>
      <c r="P259">
        <v>3.1699999999999999E-2</v>
      </c>
      <c r="Q259">
        <v>0.22500000000000001</v>
      </c>
      <c r="R259">
        <v>0</v>
      </c>
      <c r="S259">
        <v>0.12</v>
      </c>
      <c r="T259">
        <v>0.875</v>
      </c>
      <c r="U259">
        <v>125.13500000000001</v>
      </c>
      <c r="V259">
        <v>4</v>
      </c>
    </row>
    <row r="260" spans="1:22" ht="15" customHeight="1" x14ac:dyDescent="0.2">
      <c r="A260" t="s">
        <v>1214</v>
      </c>
      <c r="B260" t="s">
        <v>605</v>
      </c>
      <c r="C260" t="s">
        <v>1215</v>
      </c>
      <c r="D260" t="s">
        <v>138</v>
      </c>
      <c r="E260">
        <v>1977</v>
      </c>
      <c r="F260">
        <v>243933</v>
      </c>
      <c r="G260">
        <v>79</v>
      </c>
      <c r="H260">
        <v>125771062</v>
      </c>
      <c r="I260" t="s">
        <v>1164</v>
      </c>
      <c r="K260">
        <v>0.68400000000000005</v>
      </c>
      <c r="L260">
        <v>0.67500000000000004</v>
      </c>
      <c r="M260">
        <v>11</v>
      </c>
      <c r="N260">
        <v>-8.1229999999999993</v>
      </c>
      <c r="O260">
        <v>1</v>
      </c>
      <c r="P260">
        <v>2.5700000000000001E-2</v>
      </c>
      <c r="Q260">
        <v>0.16300000000000001</v>
      </c>
      <c r="R260">
        <v>0</v>
      </c>
      <c r="S260">
        <v>0.24199999999999999</v>
      </c>
      <c r="T260">
        <v>0.92400000000000004</v>
      </c>
      <c r="U260">
        <v>107.06399999999999</v>
      </c>
      <c r="V260">
        <v>4</v>
      </c>
    </row>
    <row r="261" spans="1:22" ht="15" customHeight="1" x14ac:dyDescent="0.2">
      <c r="A261" t="s">
        <v>1216</v>
      </c>
      <c r="B261" t="s">
        <v>399</v>
      </c>
      <c r="C261" t="s">
        <v>1217</v>
      </c>
      <c r="D261" t="s">
        <v>1957</v>
      </c>
      <c r="E261">
        <v>1966</v>
      </c>
      <c r="F261">
        <v>324160</v>
      </c>
      <c r="G261">
        <v>51</v>
      </c>
      <c r="H261">
        <v>125771062</v>
      </c>
      <c r="I261" t="s">
        <v>1164</v>
      </c>
      <c r="J261" t="s">
        <v>1856</v>
      </c>
      <c r="K261">
        <v>0.45400000000000001</v>
      </c>
      <c r="L261">
        <v>0.26</v>
      </c>
      <c r="M261">
        <v>10</v>
      </c>
      <c r="N261">
        <v>-13.212999999999999</v>
      </c>
      <c r="O261">
        <v>0</v>
      </c>
      <c r="P261">
        <v>4.0500000000000001E-2</v>
      </c>
      <c r="Q261">
        <v>0.52900000000000003</v>
      </c>
      <c r="R261">
        <v>7.7899999999999996E-4</v>
      </c>
      <c r="S261">
        <v>6.4600000000000005E-2</v>
      </c>
      <c r="T261">
        <v>0.56999999999999995</v>
      </c>
      <c r="U261">
        <v>174.21</v>
      </c>
      <c r="V261">
        <v>5</v>
      </c>
    </row>
    <row r="262" spans="1:22" ht="15" customHeight="1" x14ac:dyDescent="0.2">
      <c r="A262" t="s">
        <v>1218</v>
      </c>
      <c r="B262" t="s">
        <v>753</v>
      </c>
      <c r="C262" t="s">
        <v>1219</v>
      </c>
      <c r="D262" t="s">
        <v>402</v>
      </c>
      <c r="E262" s="84">
        <v>41901</v>
      </c>
      <c r="F262">
        <v>241688</v>
      </c>
      <c r="G262">
        <v>82</v>
      </c>
      <c r="H262">
        <v>125771062</v>
      </c>
      <c r="I262" t="s">
        <v>1164</v>
      </c>
      <c r="K262">
        <v>0.56599999999999995</v>
      </c>
      <c r="L262">
        <v>0.66400000000000003</v>
      </c>
      <c r="M262">
        <v>4</v>
      </c>
      <c r="N262">
        <v>-5.3029999999999999</v>
      </c>
      <c r="O262">
        <v>0</v>
      </c>
      <c r="P262">
        <v>4.6399999999999997E-2</v>
      </c>
      <c r="Q262">
        <v>0.63400000000000001</v>
      </c>
      <c r="R262">
        <v>0</v>
      </c>
      <c r="S262">
        <v>0.11600000000000001</v>
      </c>
      <c r="T262">
        <v>0.437</v>
      </c>
      <c r="U262">
        <v>128.94499999999999</v>
      </c>
      <c r="V262">
        <v>4</v>
      </c>
    </row>
    <row r="263" spans="1:22" ht="15" customHeight="1" x14ac:dyDescent="0.2">
      <c r="A263" t="s">
        <v>1220</v>
      </c>
      <c r="B263" t="s">
        <v>403</v>
      </c>
      <c r="C263" t="s">
        <v>1221</v>
      </c>
      <c r="D263" t="s">
        <v>64</v>
      </c>
      <c r="E263" s="84">
        <v>36445</v>
      </c>
      <c r="F263">
        <v>271760</v>
      </c>
      <c r="G263">
        <v>1</v>
      </c>
      <c r="H263">
        <v>125771062</v>
      </c>
      <c r="I263" t="s">
        <v>1164</v>
      </c>
      <c r="J263" t="s">
        <v>1833</v>
      </c>
      <c r="K263">
        <v>0.498</v>
      </c>
      <c r="L263">
        <v>0.24199999999999999</v>
      </c>
      <c r="M263">
        <v>9</v>
      </c>
      <c r="N263">
        <v>-12.238</v>
      </c>
      <c r="O263">
        <v>1</v>
      </c>
      <c r="P263">
        <v>2.5700000000000001E-2</v>
      </c>
      <c r="Q263">
        <v>0.83499999999999996</v>
      </c>
      <c r="R263">
        <v>0.53600000000000003</v>
      </c>
      <c r="S263">
        <v>0.13300000000000001</v>
      </c>
      <c r="T263">
        <v>0.312</v>
      </c>
      <c r="U263">
        <v>153.744</v>
      </c>
      <c r="V263">
        <v>4</v>
      </c>
    </row>
    <row r="264" spans="1:22" ht="15" customHeight="1" x14ac:dyDescent="0.2">
      <c r="A264" t="s">
        <v>1222</v>
      </c>
      <c r="B264" t="s">
        <v>404</v>
      </c>
      <c r="C264" t="s">
        <v>1223</v>
      </c>
      <c r="D264" t="s">
        <v>1918</v>
      </c>
      <c r="E264" s="84">
        <v>24612</v>
      </c>
      <c r="F264">
        <v>158346</v>
      </c>
      <c r="G264">
        <v>25</v>
      </c>
      <c r="H264">
        <v>125771062</v>
      </c>
      <c r="I264" t="s">
        <v>1164</v>
      </c>
      <c r="K264">
        <v>0.61499999999999999</v>
      </c>
      <c r="L264">
        <v>0.48</v>
      </c>
      <c r="M264">
        <v>9</v>
      </c>
      <c r="N264">
        <v>-12.180999999999999</v>
      </c>
      <c r="O264">
        <v>1</v>
      </c>
      <c r="P264">
        <v>3.7600000000000001E-2</v>
      </c>
      <c r="Q264">
        <v>0.65900000000000003</v>
      </c>
      <c r="R264">
        <v>0</v>
      </c>
      <c r="S264">
        <v>0.16600000000000001</v>
      </c>
      <c r="T264">
        <v>0.84899999999999998</v>
      </c>
      <c r="U264">
        <v>133.923</v>
      </c>
      <c r="V264">
        <v>4</v>
      </c>
    </row>
    <row r="265" spans="1:22" ht="15" customHeight="1" x14ac:dyDescent="0.2">
      <c r="A265" t="s">
        <v>1638</v>
      </c>
      <c r="B265" t="s">
        <v>1639</v>
      </c>
      <c r="C265" t="s">
        <v>606</v>
      </c>
      <c r="D265" t="s">
        <v>138</v>
      </c>
      <c r="E265" s="84">
        <v>34335</v>
      </c>
      <c r="F265">
        <v>243840</v>
      </c>
      <c r="G265">
        <v>20</v>
      </c>
      <c r="H265">
        <v>125771062</v>
      </c>
      <c r="I265" t="s">
        <v>1640</v>
      </c>
      <c r="K265">
        <v>0.65800000000000003</v>
      </c>
      <c r="L265">
        <v>0.29299999999999998</v>
      </c>
      <c r="M265">
        <v>2</v>
      </c>
      <c r="N265">
        <v>-11.042999999999999</v>
      </c>
      <c r="O265">
        <v>1</v>
      </c>
      <c r="P265">
        <v>3.0800000000000001E-2</v>
      </c>
      <c r="Q265">
        <v>0.68300000000000005</v>
      </c>
      <c r="R265">
        <v>0</v>
      </c>
      <c r="S265">
        <v>0.23499999999999999</v>
      </c>
      <c r="T265">
        <v>0.54300000000000004</v>
      </c>
      <c r="U265">
        <v>98.638000000000005</v>
      </c>
      <c r="V265">
        <v>4</v>
      </c>
    </row>
    <row r="266" spans="1:22" ht="15" customHeight="1" x14ac:dyDescent="0.2">
      <c r="A266" t="s">
        <v>1224</v>
      </c>
      <c r="B266" t="s">
        <v>405</v>
      </c>
      <c r="C266" t="s">
        <v>1225</v>
      </c>
      <c r="D266" t="s">
        <v>406</v>
      </c>
      <c r="E266" s="84">
        <v>36473</v>
      </c>
      <c r="F266">
        <v>278000</v>
      </c>
      <c r="G266">
        <v>54</v>
      </c>
      <c r="H266">
        <v>125771062</v>
      </c>
      <c r="I266" t="s">
        <v>1164</v>
      </c>
      <c r="K266">
        <v>0.65200000000000002</v>
      </c>
      <c r="L266">
        <v>0.66900000000000004</v>
      </c>
      <c r="M266">
        <v>6</v>
      </c>
      <c r="N266">
        <v>-7.6630000000000003</v>
      </c>
      <c r="O266">
        <v>1</v>
      </c>
      <c r="P266">
        <v>3.6999999999999998E-2</v>
      </c>
      <c r="Q266">
        <v>6.3899999999999998E-2</v>
      </c>
      <c r="R266">
        <v>3.8299999999999998E-6</v>
      </c>
      <c r="S266">
        <v>6.7100000000000007E-2</v>
      </c>
      <c r="T266">
        <v>0.83399999999999996</v>
      </c>
      <c r="U266">
        <v>116.08799999999999</v>
      </c>
      <c r="V266">
        <v>4</v>
      </c>
    </row>
    <row r="267" spans="1:22" ht="15" customHeight="1" x14ac:dyDescent="0.2">
      <c r="A267" t="s">
        <v>1226</v>
      </c>
      <c r="B267" t="s">
        <v>407</v>
      </c>
      <c r="C267" t="s">
        <v>1227</v>
      </c>
      <c r="D267" t="s">
        <v>667</v>
      </c>
      <c r="E267" s="84">
        <v>25594</v>
      </c>
      <c r="F267">
        <v>312578</v>
      </c>
      <c r="G267">
        <v>74</v>
      </c>
      <c r="H267">
        <v>125771062</v>
      </c>
      <c r="I267" t="s">
        <v>1164</v>
      </c>
      <c r="J267" t="s">
        <v>1788</v>
      </c>
      <c r="K267">
        <v>0.439</v>
      </c>
      <c r="L267">
        <v>0.48799999999999999</v>
      </c>
      <c r="M267">
        <v>11</v>
      </c>
      <c r="N267">
        <v>-14.464</v>
      </c>
      <c r="O267">
        <v>1</v>
      </c>
      <c r="P267">
        <v>6.1499999999999999E-2</v>
      </c>
      <c r="Q267">
        <v>0.70199999999999996</v>
      </c>
      <c r="R267">
        <v>3.39E-4</v>
      </c>
      <c r="S267">
        <v>0.16</v>
      </c>
      <c r="T267">
        <v>0.629</v>
      </c>
      <c r="U267">
        <v>93.016999999999996</v>
      </c>
      <c r="V267">
        <v>4</v>
      </c>
    </row>
    <row r="268" spans="1:22" ht="15" customHeight="1" x14ac:dyDescent="0.2">
      <c r="A268" t="s">
        <v>1228</v>
      </c>
      <c r="B268" t="s">
        <v>408</v>
      </c>
      <c r="C268" t="s">
        <v>1229</v>
      </c>
      <c r="D268" t="s">
        <v>754</v>
      </c>
      <c r="E268" s="84">
        <v>40088</v>
      </c>
      <c r="F268">
        <v>217986</v>
      </c>
      <c r="G268">
        <v>1</v>
      </c>
      <c r="H268">
        <v>125771062</v>
      </c>
      <c r="I268" t="s">
        <v>1164</v>
      </c>
      <c r="J268" t="s">
        <v>1837</v>
      </c>
      <c r="K268">
        <v>0.59499999999999997</v>
      </c>
      <c r="L268">
        <v>0.50600000000000001</v>
      </c>
      <c r="M268">
        <v>4</v>
      </c>
      <c r="N268">
        <v>-9.6820000000000004</v>
      </c>
      <c r="O268">
        <v>1</v>
      </c>
      <c r="P268">
        <v>3.8800000000000001E-2</v>
      </c>
      <c r="Q268">
        <v>4.6399999999999997E-2</v>
      </c>
      <c r="R268">
        <v>1.3799999999999999E-4</v>
      </c>
      <c r="S268">
        <v>0.107</v>
      </c>
      <c r="T268">
        <v>0.34599999999999997</v>
      </c>
      <c r="U268">
        <v>141.98099999999999</v>
      </c>
      <c r="V268">
        <v>4</v>
      </c>
    </row>
    <row r="269" spans="1:22" ht="15" customHeight="1" x14ac:dyDescent="0.2">
      <c r="A269" t="s">
        <v>1230</v>
      </c>
      <c r="B269" t="s">
        <v>410</v>
      </c>
      <c r="C269" t="s">
        <v>1231</v>
      </c>
      <c r="D269" t="s">
        <v>1330</v>
      </c>
      <c r="E269" s="84">
        <v>32509</v>
      </c>
      <c r="F269">
        <v>321826</v>
      </c>
      <c r="G269">
        <v>56</v>
      </c>
      <c r="H269">
        <v>125771062</v>
      </c>
      <c r="I269" t="s">
        <v>1164</v>
      </c>
      <c r="J269" t="s">
        <v>1958</v>
      </c>
      <c r="K269">
        <v>0.66600000000000004</v>
      </c>
      <c r="L269">
        <v>0.19400000000000001</v>
      </c>
      <c r="M269">
        <v>5</v>
      </c>
      <c r="N269">
        <v>-15.487</v>
      </c>
      <c r="O269">
        <v>0</v>
      </c>
      <c r="P269">
        <v>3.5700000000000003E-2</v>
      </c>
      <c r="Q269">
        <v>0.91</v>
      </c>
      <c r="R269">
        <v>4.0299999999999997E-5</v>
      </c>
      <c r="S269">
        <v>8.2900000000000001E-2</v>
      </c>
      <c r="T269">
        <v>0.443</v>
      </c>
      <c r="U269">
        <v>129.86000000000001</v>
      </c>
      <c r="V269">
        <v>4</v>
      </c>
    </row>
    <row r="270" spans="1:22" ht="15" customHeight="1" x14ac:dyDescent="0.2">
      <c r="A270" t="s">
        <v>1232</v>
      </c>
      <c r="B270" t="s">
        <v>412</v>
      </c>
      <c r="C270" t="s">
        <v>412</v>
      </c>
      <c r="D270" t="s">
        <v>413</v>
      </c>
      <c r="E270" s="84">
        <v>26665</v>
      </c>
      <c r="F270">
        <v>264503</v>
      </c>
      <c r="G270">
        <v>78</v>
      </c>
      <c r="H270">
        <v>125771062</v>
      </c>
      <c r="I270" t="s">
        <v>1233</v>
      </c>
      <c r="J270" t="s">
        <v>1813</v>
      </c>
      <c r="K270">
        <v>0.59599999999999997</v>
      </c>
      <c r="L270">
        <v>0.44800000000000001</v>
      </c>
      <c r="M270">
        <v>5</v>
      </c>
      <c r="N270">
        <v>-9.6159999999999997</v>
      </c>
      <c r="O270">
        <v>1</v>
      </c>
      <c r="P270">
        <v>3.9600000000000003E-2</v>
      </c>
      <c r="Q270">
        <v>0.36499999999999999</v>
      </c>
      <c r="R270">
        <v>5.3000000000000001E-6</v>
      </c>
      <c r="S270">
        <v>0.20599999999999999</v>
      </c>
      <c r="T270">
        <v>0.79600000000000004</v>
      </c>
      <c r="U270">
        <v>83.293000000000006</v>
      </c>
      <c r="V270">
        <v>4</v>
      </c>
    </row>
    <row r="271" spans="1:22" ht="15" customHeight="1" x14ac:dyDescent="0.2">
      <c r="A271" t="s">
        <v>1234</v>
      </c>
      <c r="B271" t="s">
        <v>414</v>
      </c>
      <c r="C271" t="s">
        <v>915</v>
      </c>
      <c r="D271" t="s">
        <v>126</v>
      </c>
      <c r="E271" s="84">
        <v>40309</v>
      </c>
      <c r="F271">
        <v>189109</v>
      </c>
      <c r="G271">
        <v>78</v>
      </c>
      <c r="H271">
        <v>125771062</v>
      </c>
      <c r="I271" t="s">
        <v>1233</v>
      </c>
      <c r="K271">
        <v>0.79400000000000004</v>
      </c>
      <c r="L271">
        <v>0.71099999999999997</v>
      </c>
      <c r="M271">
        <v>8</v>
      </c>
      <c r="N271">
        <v>-5.1239999999999997</v>
      </c>
      <c r="O271">
        <v>0</v>
      </c>
      <c r="P271">
        <v>6.9900000000000004E-2</v>
      </c>
      <c r="Q271">
        <v>0.3</v>
      </c>
      <c r="R271">
        <v>0</v>
      </c>
      <c r="S271">
        <v>9.5500000000000002E-2</v>
      </c>
      <c r="T271">
        <v>0.95499999999999996</v>
      </c>
      <c r="U271">
        <v>174.91499999999999</v>
      </c>
      <c r="V271">
        <v>4</v>
      </c>
    </row>
    <row r="272" spans="1:22" ht="15" customHeight="1" x14ac:dyDescent="0.2">
      <c r="A272" t="s">
        <v>1235</v>
      </c>
      <c r="B272" t="s">
        <v>415</v>
      </c>
      <c r="C272" t="s">
        <v>1236</v>
      </c>
      <c r="D272" t="s">
        <v>416</v>
      </c>
      <c r="E272" s="84">
        <v>37964</v>
      </c>
      <c r="F272">
        <v>232800</v>
      </c>
      <c r="G272">
        <v>7</v>
      </c>
      <c r="H272">
        <v>125771062</v>
      </c>
      <c r="I272" t="s">
        <v>1233</v>
      </c>
      <c r="J272" t="s">
        <v>1857</v>
      </c>
      <c r="K272">
        <v>0.47399999999999998</v>
      </c>
      <c r="L272">
        <v>0.67100000000000004</v>
      </c>
      <c r="M272">
        <v>4</v>
      </c>
      <c r="N272">
        <v>-4.649</v>
      </c>
      <c r="O272">
        <v>1</v>
      </c>
      <c r="P272">
        <v>2.8899999999999999E-2</v>
      </c>
      <c r="Q272">
        <v>1.29E-2</v>
      </c>
      <c r="R272">
        <v>0</v>
      </c>
      <c r="S272">
        <v>0.159</v>
      </c>
      <c r="T272">
        <v>6.8199999999999997E-2</v>
      </c>
      <c r="U272">
        <v>82.94</v>
      </c>
      <c r="V272">
        <v>4</v>
      </c>
    </row>
    <row r="273" spans="1:22" ht="15" customHeight="1" x14ac:dyDescent="0.2">
      <c r="A273" t="s">
        <v>1237</v>
      </c>
      <c r="B273" t="s">
        <v>417</v>
      </c>
      <c r="C273" t="s">
        <v>906</v>
      </c>
      <c r="D273" t="s">
        <v>28</v>
      </c>
      <c r="E273" s="84">
        <v>37495</v>
      </c>
      <c r="F273">
        <v>309600</v>
      </c>
      <c r="G273">
        <v>89</v>
      </c>
      <c r="H273">
        <v>125771062</v>
      </c>
      <c r="I273" t="s">
        <v>1233</v>
      </c>
      <c r="K273">
        <v>0.55700000000000005</v>
      </c>
      <c r="L273">
        <v>0.442</v>
      </c>
      <c r="M273">
        <v>5</v>
      </c>
      <c r="N273">
        <v>-7.2240000000000002</v>
      </c>
      <c r="O273">
        <v>1</v>
      </c>
      <c r="P273">
        <v>2.4299999999999999E-2</v>
      </c>
      <c r="Q273">
        <v>0.73099999999999998</v>
      </c>
      <c r="R273">
        <v>1.4600000000000001E-5</v>
      </c>
      <c r="S273">
        <v>0.11</v>
      </c>
      <c r="T273">
        <v>0.21299999999999999</v>
      </c>
      <c r="U273">
        <v>146.27699999999999</v>
      </c>
      <c r="V273">
        <v>4</v>
      </c>
    </row>
    <row r="274" spans="1:22" ht="15" customHeight="1" x14ac:dyDescent="0.2">
      <c r="A274" t="s">
        <v>1238</v>
      </c>
      <c r="B274" t="s">
        <v>773</v>
      </c>
      <c r="C274" t="s">
        <v>1239</v>
      </c>
      <c r="D274" t="s">
        <v>622</v>
      </c>
      <c r="E274" s="84">
        <v>39714</v>
      </c>
      <c r="F274">
        <v>235693</v>
      </c>
      <c r="G274">
        <v>59</v>
      </c>
      <c r="H274">
        <v>125771062</v>
      </c>
      <c r="I274" t="s">
        <v>1240</v>
      </c>
      <c r="K274">
        <v>0.753</v>
      </c>
      <c r="L274">
        <v>0.59</v>
      </c>
      <c r="M274">
        <v>0</v>
      </c>
      <c r="N274">
        <v>-4.1440000000000001</v>
      </c>
      <c r="O274">
        <v>1</v>
      </c>
      <c r="P274">
        <v>3.1699999999999999E-2</v>
      </c>
      <c r="Q274">
        <v>0.25900000000000001</v>
      </c>
      <c r="R274">
        <v>0</v>
      </c>
      <c r="S274">
        <v>8.3599999999999994E-2</v>
      </c>
      <c r="T274">
        <v>0.59299999999999997</v>
      </c>
      <c r="U274">
        <v>123.02800000000001</v>
      </c>
      <c r="V274">
        <v>4</v>
      </c>
    </row>
    <row r="275" spans="1:22" ht="15" customHeight="1" x14ac:dyDescent="0.2">
      <c r="A275" t="s">
        <v>1241</v>
      </c>
      <c r="B275" t="s">
        <v>755</v>
      </c>
      <c r="C275" t="s">
        <v>1242</v>
      </c>
      <c r="D275" t="s">
        <v>667</v>
      </c>
      <c r="E275" s="84">
        <v>41149</v>
      </c>
      <c r="F275">
        <v>184786</v>
      </c>
      <c r="G275">
        <v>65</v>
      </c>
      <c r="H275">
        <v>125771062</v>
      </c>
      <c r="I275" t="s">
        <v>1233</v>
      </c>
      <c r="J275" t="s">
        <v>1788</v>
      </c>
      <c r="K275">
        <v>0.53500000000000003</v>
      </c>
      <c r="L275">
        <v>0.22500000000000001</v>
      </c>
      <c r="M275">
        <v>6</v>
      </c>
      <c r="N275">
        <v>-13.865</v>
      </c>
      <c r="O275">
        <v>1</v>
      </c>
      <c r="P275">
        <v>3.0099999999999998E-2</v>
      </c>
      <c r="Q275">
        <v>0.86899999999999999</v>
      </c>
      <c r="R275">
        <v>1.57E-6</v>
      </c>
      <c r="S275">
        <v>9.8799999999999999E-2</v>
      </c>
      <c r="T275">
        <v>0.33800000000000002</v>
      </c>
      <c r="U275">
        <v>107.384</v>
      </c>
      <c r="V275">
        <v>4</v>
      </c>
    </row>
    <row r="276" spans="1:22" ht="15" customHeight="1" x14ac:dyDescent="0.2">
      <c r="A276" t="s">
        <v>1616</v>
      </c>
      <c r="B276" t="s">
        <v>1608</v>
      </c>
      <c r="C276" t="s">
        <v>1617</v>
      </c>
      <c r="D276" t="s">
        <v>1609</v>
      </c>
      <c r="E276" s="84">
        <v>27395</v>
      </c>
      <c r="F276">
        <v>282013</v>
      </c>
      <c r="G276">
        <v>62</v>
      </c>
      <c r="H276">
        <v>125771062</v>
      </c>
      <c r="I276" t="s">
        <v>1618</v>
      </c>
      <c r="J276" t="s">
        <v>1858</v>
      </c>
      <c r="K276">
        <v>0.48599999999999999</v>
      </c>
      <c r="L276">
        <v>0.48699999999999999</v>
      </c>
      <c r="M276">
        <v>9</v>
      </c>
      <c r="N276">
        <v>-11.632999999999999</v>
      </c>
      <c r="O276">
        <v>0</v>
      </c>
      <c r="P276">
        <v>3.4099999999999998E-2</v>
      </c>
      <c r="Q276">
        <v>0.44500000000000001</v>
      </c>
      <c r="R276">
        <v>1.4399999999999999E-5</v>
      </c>
      <c r="S276">
        <v>6.4799999999999996E-2</v>
      </c>
      <c r="T276">
        <v>0.373</v>
      </c>
      <c r="U276">
        <v>81.971999999999994</v>
      </c>
      <c r="V276">
        <v>4</v>
      </c>
    </row>
    <row r="277" spans="1:22" ht="15" customHeight="1" x14ac:dyDescent="0.2">
      <c r="A277" t="s">
        <v>1243</v>
      </c>
      <c r="B277" t="s">
        <v>419</v>
      </c>
      <c r="C277" t="s">
        <v>1244</v>
      </c>
      <c r="D277" t="s">
        <v>420</v>
      </c>
      <c r="E277" s="84">
        <v>29890</v>
      </c>
      <c r="F277">
        <v>282160</v>
      </c>
      <c r="G277">
        <v>51</v>
      </c>
      <c r="H277">
        <v>125771062</v>
      </c>
      <c r="I277" t="s">
        <v>1233</v>
      </c>
      <c r="K277">
        <v>0.80900000000000005</v>
      </c>
      <c r="L277">
        <v>0.57499999999999996</v>
      </c>
      <c r="M277">
        <v>11</v>
      </c>
      <c r="N277">
        <v>-11.967000000000001</v>
      </c>
      <c r="O277">
        <v>1</v>
      </c>
      <c r="P277">
        <v>2.7400000000000001E-2</v>
      </c>
      <c r="Q277">
        <v>0.27900000000000003</v>
      </c>
      <c r="R277">
        <v>0.122</v>
      </c>
      <c r="S277">
        <v>0.41299999999999998</v>
      </c>
      <c r="T277">
        <v>0.96599999999999997</v>
      </c>
      <c r="U277">
        <v>96.179000000000002</v>
      </c>
      <c r="V277">
        <v>4</v>
      </c>
    </row>
    <row r="278" spans="1:22" ht="15" customHeight="1" x14ac:dyDescent="0.2">
      <c r="A278" t="s">
        <v>1245</v>
      </c>
      <c r="B278" t="s">
        <v>421</v>
      </c>
      <c r="C278" t="s">
        <v>421</v>
      </c>
      <c r="D278" t="s">
        <v>92</v>
      </c>
      <c r="E278" s="84">
        <v>23389</v>
      </c>
      <c r="F278">
        <v>197020</v>
      </c>
      <c r="G278">
        <v>69</v>
      </c>
      <c r="H278">
        <v>125771062</v>
      </c>
      <c r="I278" t="s">
        <v>1233</v>
      </c>
      <c r="J278" t="s">
        <v>1943</v>
      </c>
      <c r="K278">
        <v>0.38900000000000001</v>
      </c>
      <c r="L278">
        <v>0.39600000000000002</v>
      </c>
      <c r="M278">
        <v>7</v>
      </c>
      <c r="N278">
        <v>-7.9989999999999997</v>
      </c>
      <c r="O278">
        <v>1</v>
      </c>
      <c r="P278">
        <v>3.32E-2</v>
      </c>
      <c r="Q278">
        <v>0.88700000000000001</v>
      </c>
      <c r="R278">
        <v>0</v>
      </c>
      <c r="S278">
        <v>8.2799999999999999E-2</v>
      </c>
      <c r="T278">
        <v>0.58499999999999996</v>
      </c>
      <c r="U278">
        <v>171.86</v>
      </c>
      <c r="V278">
        <v>3</v>
      </c>
    </row>
    <row r="279" spans="1:22" ht="15" customHeight="1" x14ac:dyDescent="0.2">
      <c r="A279" t="s">
        <v>1246</v>
      </c>
      <c r="B279" t="s">
        <v>770</v>
      </c>
      <c r="C279" t="s">
        <v>1247</v>
      </c>
      <c r="D279" t="s">
        <v>771</v>
      </c>
      <c r="E279" s="84">
        <v>35796</v>
      </c>
      <c r="F279">
        <v>257093</v>
      </c>
      <c r="G279">
        <v>70</v>
      </c>
      <c r="H279">
        <v>125771062</v>
      </c>
      <c r="I279" t="s">
        <v>1248</v>
      </c>
      <c r="K279">
        <v>0.64600000000000002</v>
      </c>
      <c r="L279">
        <v>0.88200000000000001</v>
      </c>
      <c r="M279">
        <v>6</v>
      </c>
      <c r="N279">
        <v>-5.6479999999999997</v>
      </c>
      <c r="O279">
        <v>0</v>
      </c>
      <c r="P279">
        <v>3.4599999999999999E-2</v>
      </c>
      <c r="Q279">
        <v>0.14299999999999999</v>
      </c>
      <c r="R279">
        <v>9.6700000000000006E-6</v>
      </c>
      <c r="S279">
        <v>0.33500000000000002</v>
      </c>
      <c r="T279">
        <v>0.90800000000000003</v>
      </c>
      <c r="U279">
        <v>120.837</v>
      </c>
      <c r="V279">
        <v>4</v>
      </c>
    </row>
    <row r="280" spans="1:22" ht="15" customHeight="1" x14ac:dyDescent="0.2">
      <c r="A280" t="s">
        <v>1249</v>
      </c>
      <c r="B280" t="s">
        <v>422</v>
      </c>
      <c r="C280" t="s">
        <v>1250</v>
      </c>
      <c r="D280" t="s">
        <v>423</v>
      </c>
      <c r="E280" s="84">
        <v>39083</v>
      </c>
      <c r="F280">
        <v>135386</v>
      </c>
      <c r="G280">
        <v>53</v>
      </c>
      <c r="H280">
        <v>125771062</v>
      </c>
      <c r="I280" t="s">
        <v>1233</v>
      </c>
      <c r="K280">
        <v>0.877</v>
      </c>
      <c r="L280">
        <v>0.25900000000000001</v>
      </c>
      <c r="M280">
        <v>5</v>
      </c>
      <c r="N280">
        <v>-9.3019999999999996</v>
      </c>
      <c r="O280">
        <v>1</v>
      </c>
      <c r="P280">
        <v>4.2700000000000002E-2</v>
      </c>
      <c r="Q280">
        <v>0.77100000000000002</v>
      </c>
      <c r="R280">
        <v>8.9800000000000004E-6</v>
      </c>
      <c r="S280">
        <v>0.108</v>
      </c>
      <c r="T280">
        <v>0.32</v>
      </c>
      <c r="U280">
        <v>119.989</v>
      </c>
      <c r="V280">
        <v>4</v>
      </c>
    </row>
    <row r="281" spans="1:22" ht="15" customHeight="1" x14ac:dyDescent="0.2">
      <c r="A281" t="s">
        <v>1251</v>
      </c>
      <c r="B281" t="s">
        <v>424</v>
      </c>
      <c r="C281" t="s">
        <v>1919</v>
      </c>
      <c r="D281" t="s">
        <v>194</v>
      </c>
      <c r="E281">
        <v>1964</v>
      </c>
      <c r="F281">
        <v>202160</v>
      </c>
      <c r="G281">
        <v>70</v>
      </c>
      <c r="H281">
        <v>125771062</v>
      </c>
      <c r="I281" t="s">
        <v>1233</v>
      </c>
      <c r="J281" t="s">
        <v>1883</v>
      </c>
      <c r="K281">
        <v>0.622</v>
      </c>
      <c r="L281">
        <v>0.24</v>
      </c>
      <c r="M281">
        <v>5</v>
      </c>
      <c r="N281">
        <v>-14.067</v>
      </c>
      <c r="O281">
        <v>0</v>
      </c>
      <c r="P281">
        <v>3.6299999999999999E-2</v>
      </c>
      <c r="Q281">
        <v>0.79800000000000004</v>
      </c>
      <c r="R281">
        <v>0</v>
      </c>
      <c r="S281">
        <v>0.14199999999999999</v>
      </c>
      <c r="T281">
        <v>0.58699999999999997</v>
      </c>
      <c r="U281">
        <v>132.23400000000001</v>
      </c>
      <c r="V281">
        <v>4</v>
      </c>
    </row>
    <row r="282" spans="1:22" ht="15" customHeight="1" x14ac:dyDescent="0.2">
      <c r="A282" t="s">
        <v>1252</v>
      </c>
      <c r="B282" t="s">
        <v>425</v>
      </c>
      <c r="C282" t="s">
        <v>1920</v>
      </c>
      <c r="D282" t="s">
        <v>426</v>
      </c>
      <c r="E282" s="84">
        <v>34866</v>
      </c>
      <c r="F282">
        <v>298121</v>
      </c>
      <c r="G282">
        <v>64</v>
      </c>
      <c r="H282">
        <v>125771062</v>
      </c>
      <c r="I282" t="s">
        <v>1233</v>
      </c>
      <c r="K282">
        <v>0.60699999999999998</v>
      </c>
      <c r="L282">
        <v>0.81699999999999995</v>
      </c>
      <c r="M282">
        <v>1</v>
      </c>
      <c r="N282">
        <v>-5.9260000000000002</v>
      </c>
      <c r="O282">
        <v>1</v>
      </c>
      <c r="P282">
        <v>0.11</v>
      </c>
      <c r="Q282">
        <v>3.6999999999999998E-2</v>
      </c>
      <c r="R282">
        <v>6.0700000000000001E-4</v>
      </c>
      <c r="S282">
        <v>0.11600000000000001</v>
      </c>
      <c r="T282">
        <v>0.50800000000000001</v>
      </c>
      <c r="U282">
        <v>114.482</v>
      </c>
      <c r="V282">
        <v>4</v>
      </c>
    </row>
    <row r="283" spans="1:22" ht="15" customHeight="1" x14ac:dyDescent="0.2">
      <c r="A283" t="s">
        <v>1253</v>
      </c>
      <c r="B283" t="s">
        <v>607</v>
      </c>
      <c r="C283" t="s">
        <v>604</v>
      </c>
      <c r="D283" t="s">
        <v>138</v>
      </c>
      <c r="E283">
        <v>1980</v>
      </c>
      <c r="F283">
        <v>294720</v>
      </c>
      <c r="G283">
        <v>87</v>
      </c>
      <c r="H283">
        <v>125771062</v>
      </c>
      <c r="I283" t="s">
        <v>1233</v>
      </c>
      <c r="K283">
        <v>0.45400000000000001</v>
      </c>
      <c r="L283">
        <v>0.78800000000000003</v>
      </c>
      <c r="M283">
        <v>6</v>
      </c>
      <c r="N283">
        <v>-6.7480000000000002</v>
      </c>
      <c r="O283">
        <v>1</v>
      </c>
      <c r="P283">
        <v>3.7100000000000001E-2</v>
      </c>
      <c r="Q283">
        <v>0.57399999999999995</v>
      </c>
      <c r="R283">
        <v>7.6599999999999997E-4</v>
      </c>
      <c r="S283">
        <v>8.5900000000000004E-2</v>
      </c>
      <c r="T283">
        <v>0.52</v>
      </c>
      <c r="U283">
        <v>126.15</v>
      </c>
      <c r="V283">
        <v>4</v>
      </c>
    </row>
    <row r="284" spans="1:22" ht="15" customHeight="1" x14ac:dyDescent="0.2">
      <c r="A284" t="s">
        <v>1254</v>
      </c>
      <c r="B284" t="s">
        <v>427</v>
      </c>
      <c r="C284" t="s">
        <v>272</v>
      </c>
      <c r="D284" t="s">
        <v>272</v>
      </c>
      <c r="E284" s="84">
        <v>35756</v>
      </c>
      <c r="F284">
        <v>164280</v>
      </c>
      <c r="G284">
        <v>70</v>
      </c>
      <c r="H284">
        <v>125771062</v>
      </c>
      <c r="I284" t="s">
        <v>1233</v>
      </c>
      <c r="K284">
        <v>0.498</v>
      </c>
      <c r="L284">
        <v>0.78900000000000003</v>
      </c>
      <c r="M284">
        <v>10</v>
      </c>
      <c r="N284">
        <v>-5.7240000000000002</v>
      </c>
      <c r="O284">
        <v>1</v>
      </c>
      <c r="P284">
        <v>3.1899999999999998E-2</v>
      </c>
      <c r="Q284">
        <v>8.5599999999999999E-4</v>
      </c>
      <c r="R284">
        <v>5.8300000000000001E-6</v>
      </c>
      <c r="S284">
        <v>0.104</v>
      </c>
      <c r="T284">
        <v>0.45500000000000002</v>
      </c>
      <c r="U284">
        <v>120.176</v>
      </c>
      <c r="V284">
        <v>4</v>
      </c>
    </row>
    <row r="285" spans="1:22" ht="15" customHeight="1" x14ac:dyDescent="0.2">
      <c r="A285" t="s">
        <v>1255</v>
      </c>
      <c r="B285" t="s">
        <v>756</v>
      </c>
      <c r="C285" t="s">
        <v>1256</v>
      </c>
      <c r="D285" t="s">
        <v>338</v>
      </c>
      <c r="E285" s="84">
        <v>41811</v>
      </c>
      <c r="F285">
        <v>281560</v>
      </c>
      <c r="G285">
        <v>86</v>
      </c>
      <c r="H285">
        <v>125771062</v>
      </c>
      <c r="I285" t="s">
        <v>1233</v>
      </c>
      <c r="J285" t="s">
        <v>1783</v>
      </c>
      <c r="K285">
        <v>0.78100000000000003</v>
      </c>
      <c r="L285">
        <v>0.44500000000000001</v>
      </c>
      <c r="M285">
        <v>2</v>
      </c>
      <c r="N285">
        <v>-6.0609999999999999</v>
      </c>
      <c r="O285">
        <v>1</v>
      </c>
      <c r="P285">
        <v>2.9499999999999998E-2</v>
      </c>
      <c r="Q285">
        <v>0.47399999999999998</v>
      </c>
      <c r="R285">
        <v>0</v>
      </c>
      <c r="S285">
        <v>0.184</v>
      </c>
      <c r="T285">
        <v>0.59099999999999997</v>
      </c>
      <c r="U285">
        <v>78.998000000000005</v>
      </c>
      <c r="V285">
        <v>4</v>
      </c>
    </row>
    <row r="286" spans="1:22" ht="15" customHeight="1" x14ac:dyDescent="0.2">
      <c r="A286" t="s">
        <v>1257</v>
      </c>
      <c r="B286" t="s">
        <v>613</v>
      </c>
      <c r="C286" t="s">
        <v>613</v>
      </c>
      <c r="D286" t="s">
        <v>757</v>
      </c>
      <c r="E286">
        <v>2007</v>
      </c>
      <c r="F286">
        <v>184413</v>
      </c>
      <c r="G286">
        <v>48</v>
      </c>
      <c r="H286">
        <v>125771062</v>
      </c>
      <c r="I286" t="s">
        <v>1233</v>
      </c>
      <c r="K286">
        <v>0.51100000000000001</v>
      </c>
      <c r="L286">
        <v>0.88400000000000001</v>
      </c>
      <c r="M286">
        <v>1</v>
      </c>
      <c r="N286">
        <v>-5.0430000000000001</v>
      </c>
      <c r="O286">
        <v>0</v>
      </c>
      <c r="P286">
        <v>4.2299999999999997E-2</v>
      </c>
      <c r="Q286">
        <v>0.26600000000000001</v>
      </c>
      <c r="R286">
        <v>0</v>
      </c>
      <c r="S286">
        <v>6.5699999999999995E-2</v>
      </c>
      <c r="T286">
        <v>0.86799999999999999</v>
      </c>
      <c r="U286">
        <v>190.08199999999999</v>
      </c>
      <c r="V286">
        <v>4</v>
      </c>
    </row>
    <row r="287" spans="1:22" ht="15" customHeight="1" x14ac:dyDescent="0.2">
      <c r="A287" t="s">
        <v>1258</v>
      </c>
      <c r="B287" t="s">
        <v>431</v>
      </c>
      <c r="C287" t="s">
        <v>1259</v>
      </c>
      <c r="D287" t="s">
        <v>206</v>
      </c>
      <c r="E287">
        <v>2002</v>
      </c>
      <c r="F287">
        <v>206200</v>
      </c>
      <c r="G287">
        <v>88</v>
      </c>
      <c r="H287">
        <v>125771062</v>
      </c>
      <c r="I287" t="s">
        <v>1233</v>
      </c>
      <c r="J287" t="s">
        <v>793</v>
      </c>
      <c r="K287">
        <v>0.71199999999999997</v>
      </c>
      <c r="L287">
        <v>0.86199999999999999</v>
      </c>
      <c r="M287">
        <v>5</v>
      </c>
      <c r="N287">
        <v>-4.6120000000000001</v>
      </c>
      <c r="O287">
        <v>0</v>
      </c>
      <c r="P287">
        <v>3.78E-2</v>
      </c>
      <c r="Q287">
        <v>5.2499999999999998E-2</v>
      </c>
      <c r="R287">
        <v>0</v>
      </c>
      <c r="S287">
        <v>9.2999999999999999E-2</v>
      </c>
      <c r="T287">
        <v>0.80900000000000005</v>
      </c>
      <c r="U287">
        <v>95.051000000000002</v>
      </c>
      <c r="V287">
        <v>4</v>
      </c>
    </row>
    <row r="288" spans="1:22" ht="15" customHeight="1" x14ac:dyDescent="0.2">
      <c r="A288" t="s">
        <v>1959</v>
      </c>
      <c r="B288" t="s">
        <v>1960</v>
      </c>
      <c r="C288" t="s">
        <v>1961</v>
      </c>
      <c r="D288" t="s">
        <v>1962</v>
      </c>
      <c r="E288" s="84">
        <v>44925</v>
      </c>
      <c r="F288">
        <v>169276</v>
      </c>
      <c r="G288">
        <v>47</v>
      </c>
      <c r="H288">
        <v>125771062</v>
      </c>
      <c r="I288" t="s">
        <v>1963</v>
      </c>
      <c r="K288">
        <v>0.65800000000000003</v>
      </c>
      <c r="L288">
        <v>3.7999999999999999E-2</v>
      </c>
      <c r="M288">
        <v>4</v>
      </c>
      <c r="N288">
        <v>-26.574000000000002</v>
      </c>
      <c r="O288">
        <v>1</v>
      </c>
      <c r="P288">
        <v>3.8800000000000001E-2</v>
      </c>
      <c r="Q288">
        <v>0.81399999999999995</v>
      </c>
      <c r="R288">
        <v>0</v>
      </c>
      <c r="S288">
        <v>0.111</v>
      </c>
      <c r="T288">
        <v>0.38300000000000001</v>
      </c>
      <c r="U288">
        <v>113.28</v>
      </c>
      <c r="V288">
        <v>4</v>
      </c>
    </row>
    <row r="289" spans="1:22" ht="15" customHeight="1" x14ac:dyDescent="0.2">
      <c r="A289" t="s">
        <v>1260</v>
      </c>
      <c r="B289" t="s">
        <v>758</v>
      </c>
      <c r="C289" t="s">
        <v>1261</v>
      </c>
      <c r="D289" t="s">
        <v>673</v>
      </c>
      <c r="E289" s="84">
        <v>23337</v>
      </c>
      <c r="F289">
        <v>133506</v>
      </c>
      <c r="G289">
        <v>66</v>
      </c>
      <c r="H289">
        <v>125771062</v>
      </c>
      <c r="I289" t="s">
        <v>1233</v>
      </c>
      <c r="J289" t="s">
        <v>1781</v>
      </c>
      <c r="K289">
        <v>0.72699999999999998</v>
      </c>
      <c r="L289">
        <v>0.33800000000000002</v>
      </c>
      <c r="M289">
        <v>5</v>
      </c>
      <c r="N289">
        <v>-13.887</v>
      </c>
      <c r="O289">
        <v>1</v>
      </c>
      <c r="P289">
        <v>4.5400000000000003E-2</v>
      </c>
      <c r="Q289">
        <v>0.79</v>
      </c>
      <c r="R289">
        <v>0</v>
      </c>
      <c r="S289">
        <v>0.105</v>
      </c>
      <c r="T289">
        <v>0.64600000000000002</v>
      </c>
      <c r="U289">
        <v>122.42100000000001</v>
      </c>
      <c r="V289">
        <v>4</v>
      </c>
    </row>
    <row r="290" spans="1:22" ht="15" customHeight="1" x14ac:dyDescent="0.2">
      <c r="A290" t="s">
        <v>1262</v>
      </c>
      <c r="B290" t="s">
        <v>1859</v>
      </c>
      <c r="C290" t="s">
        <v>432</v>
      </c>
      <c r="D290" t="s">
        <v>433</v>
      </c>
      <c r="E290" s="84">
        <v>36697</v>
      </c>
      <c r="F290">
        <v>240000</v>
      </c>
      <c r="G290">
        <v>58</v>
      </c>
      <c r="H290">
        <v>125771062</v>
      </c>
      <c r="I290" t="s">
        <v>1233</v>
      </c>
      <c r="K290">
        <v>0.38100000000000001</v>
      </c>
      <c r="L290">
        <v>0.153</v>
      </c>
      <c r="M290">
        <v>2</v>
      </c>
      <c r="N290">
        <v>-13.145</v>
      </c>
      <c r="O290">
        <v>1</v>
      </c>
      <c r="P290">
        <v>4.02E-2</v>
      </c>
      <c r="Q290">
        <v>0.92400000000000004</v>
      </c>
      <c r="R290">
        <v>1.2700000000000001E-3</v>
      </c>
      <c r="S290">
        <v>0.122</v>
      </c>
      <c r="T290">
        <v>0.218</v>
      </c>
      <c r="U290">
        <v>181.00299999999999</v>
      </c>
      <c r="V290">
        <v>3</v>
      </c>
    </row>
    <row r="291" spans="1:22" ht="15" customHeight="1" x14ac:dyDescent="0.2">
      <c r="A291" t="s">
        <v>1263</v>
      </c>
      <c r="B291" t="s">
        <v>759</v>
      </c>
      <c r="C291" t="s">
        <v>1131</v>
      </c>
      <c r="D291" t="s">
        <v>340</v>
      </c>
      <c r="E291" s="84">
        <v>26390</v>
      </c>
      <c r="F291">
        <v>146175</v>
      </c>
      <c r="G291">
        <v>1</v>
      </c>
      <c r="H291">
        <v>125771062</v>
      </c>
      <c r="I291" t="s">
        <v>1233</v>
      </c>
      <c r="J291" t="s">
        <v>1829</v>
      </c>
      <c r="K291">
        <v>0.54400000000000004</v>
      </c>
      <c r="L291">
        <v>0.26500000000000001</v>
      </c>
      <c r="M291">
        <v>2</v>
      </c>
      <c r="N291">
        <v>-11.952</v>
      </c>
      <c r="O291">
        <v>1</v>
      </c>
      <c r="P291">
        <v>3.5000000000000003E-2</v>
      </c>
      <c r="Q291">
        <v>0.84799999999999998</v>
      </c>
      <c r="R291">
        <v>0</v>
      </c>
      <c r="S291">
        <v>0.19600000000000001</v>
      </c>
      <c r="T291">
        <v>0.7</v>
      </c>
      <c r="U291">
        <v>133.83699999999999</v>
      </c>
      <c r="V291">
        <v>3</v>
      </c>
    </row>
    <row r="292" spans="1:22" ht="15" customHeight="1" x14ac:dyDescent="0.2">
      <c r="A292" t="s">
        <v>1753</v>
      </c>
      <c r="B292" t="s">
        <v>1754</v>
      </c>
      <c r="C292" t="s">
        <v>1754</v>
      </c>
      <c r="D292" t="s">
        <v>1755</v>
      </c>
      <c r="E292" s="84">
        <v>44276</v>
      </c>
      <c r="F292">
        <v>223099</v>
      </c>
      <c r="G292">
        <v>35</v>
      </c>
      <c r="H292">
        <v>125771062</v>
      </c>
      <c r="I292" t="s">
        <v>1756</v>
      </c>
      <c r="J292" t="s">
        <v>1942</v>
      </c>
      <c r="K292">
        <v>0.495</v>
      </c>
      <c r="L292">
        <v>0.14799999999999999</v>
      </c>
      <c r="M292">
        <v>11</v>
      </c>
      <c r="N292">
        <v>-9.1240000000000006</v>
      </c>
      <c r="O292">
        <v>0</v>
      </c>
      <c r="P292">
        <v>3.56E-2</v>
      </c>
      <c r="Q292">
        <v>0.89</v>
      </c>
      <c r="R292">
        <v>0</v>
      </c>
      <c r="S292">
        <v>0.13800000000000001</v>
      </c>
      <c r="T292">
        <v>0.152</v>
      </c>
      <c r="U292">
        <v>118.17</v>
      </c>
      <c r="V292">
        <v>4</v>
      </c>
    </row>
    <row r="293" spans="1:22" ht="15" customHeight="1" x14ac:dyDescent="0.2">
      <c r="A293" t="s">
        <v>1264</v>
      </c>
      <c r="B293" t="s">
        <v>438</v>
      </c>
      <c r="C293" t="s">
        <v>1921</v>
      </c>
      <c r="D293" t="s">
        <v>760</v>
      </c>
      <c r="E293" s="84">
        <v>35394</v>
      </c>
      <c r="F293">
        <v>207200</v>
      </c>
      <c r="G293">
        <v>62</v>
      </c>
      <c r="H293">
        <v>125771062</v>
      </c>
      <c r="I293" t="s">
        <v>1233</v>
      </c>
      <c r="J293" t="s">
        <v>1838</v>
      </c>
      <c r="K293">
        <v>0.69299999999999995</v>
      </c>
      <c r="L293">
        <v>0.40799999999999997</v>
      </c>
      <c r="M293">
        <v>4</v>
      </c>
      <c r="N293">
        <v>-7.9989999999999997</v>
      </c>
      <c r="O293">
        <v>1</v>
      </c>
      <c r="P293">
        <v>4.4200000000000003E-2</v>
      </c>
      <c r="Q293">
        <v>0.34599999999999997</v>
      </c>
      <c r="R293">
        <v>0</v>
      </c>
      <c r="S293">
        <v>0.14599999999999999</v>
      </c>
      <c r="T293">
        <v>0.47899999999999998</v>
      </c>
      <c r="U293">
        <v>83.646000000000001</v>
      </c>
      <c r="V293">
        <v>4</v>
      </c>
    </row>
    <row r="294" spans="1:22" ht="15" customHeight="1" x14ac:dyDescent="0.2">
      <c r="A294" t="s">
        <v>1265</v>
      </c>
      <c r="B294" t="s">
        <v>440</v>
      </c>
      <c r="C294" t="s">
        <v>1266</v>
      </c>
      <c r="D294" t="s">
        <v>441</v>
      </c>
      <c r="E294">
        <v>1972</v>
      </c>
      <c r="F294">
        <v>179173</v>
      </c>
      <c r="G294">
        <v>71</v>
      </c>
      <c r="H294">
        <v>125771062</v>
      </c>
      <c r="I294" t="s">
        <v>1233</v>
      </c>
      <c r="J294" t="s">
        <v>1853</v>
      </c>
      <c r="K294">
        <v>0.379</v>
      </c>
      <c r="L294">
        <v>0.34300000000000003</v>
      </c>
      <c r="M294">
        <v>10</v>
      </c>
      <c r="N294">
        <v>-12.993</v>
      </c>
      <c r="O294">
        <v>1</v>
      </c>
      <c r="P294">
        <v>3.85E-2</v>
      </c>
      <c r="Q294">
        <v>0.80600000000000005</v>
      </c>
      <c r="R294">
        <v>0</v>
      </c>
      <c r="S294">
        <v>9.9099999999999994E-2</v>
      </c>
      <c r="T294">
        <v>0.69399999999999995</v>
      </c>
      <c r="U294">
        <v>184.30099999999999</v>
      </c>
      <c r="V294">
        <v>4</v>
      </c>
    </row>
    <row r="295" spans="1:22" ht="15" customHeight="1" x14ac:dyDescent="0.2">
      <c r="A295" t="s">
        <v>1267</v>
      </c>
      <c r="B295" t="s">
        <v>631</v>
      </c>
      <c r="C295" t="s">
        <v>1268</v>
      </c>
      <c r="D295" t="s">
        <v>73</v>
      </c>
      <c r="E295" s="84">
        <v>37938</v>
      </c>
      <c r="F295">
        <v>198800</v>
      </c>
      <c r="G295">
        <v>87</v>
      </c>
      <c r="H295">
        <v>125771062</v>
      </c>
      <c r="I295" t="s">
        <v>1233</v>
      </c>
      <c r="J295" t="s">
        <v>793</v>
      </c>
      <c r="K295">
        <v>0.77400000000000002</v>
      </c>
      <c r="L295">
        <v>0.83799999999999997</v>
      </c>
      <c r="M295">
        <v>5</v>
      </c>
      <c r="N295">
        <v>-3.9140000000000001</v>
      </c>
      <c r="O295">
        <v>0</v>
      </c>
      <c r="P295">
        <v>0.114</v>
      </c>
      <c r="Q295">
        <v>2.4899999999999999E-2</v>
      </c>
      <c r="R295">
        <v>2.5000000000000001E-2</v>
      </c>
      <c r="S295">
        <v>0.24199999999999999</v>
      </c>
      <c r="T295">
        <v>0.92400000000000004</v>
      </c>
      <c r="U295">
        <v>143.04</v>
      </c>
      <c r="V295">
        <v>4</v>
      </c>
    </row>
    <row r="296" spans="1:22" ht="15" customHeight="1" x14ac:dyDescent="0.2">
      <c r="A296" t="s">
        <v>1269</v>
      </c>
      <c r="B296" t="s">
        <v>782</v>
      </c>
      <c r="C296" t="s">
        <v>1029</v>
      </c>
      <c r="D296" t="s">
        <v>673</v>
      </c>
      <c r="E296" s="84">
        <v>23092</v>
      </c>
      <c r="F296">
        <v>155226</v>
      </c>
      <c r="G296">
        <v>77</v>
      </c>
      <c r="H296">
        <v>125771062</v>
      </c>
      <c r="I296" t="s">
        <v>1270</v>
      </c>
      <c r="J296" t="s">
        <v>1781</v>
      </c>
      <c r="K296">
        <v>0.48199999999999998</v>
      </c>
      <c r="L296">
        <v>0.84899999999999998</v>
      </c>
      <c r="M296">
        <v>2</v>
      </c>
      <c r="N296">
        <v>-9.1980000000000004</v>
      </c>
      <c r="O296">
        <v>1</v>
      </c>
      <c r="P296">
        <v>4.5199999999999997E-2</v>
      </c>
      <c r="Q296">
        <v>0.64100000000000001</v>
      </c>
      <c r="R296">
        <v>7.7400000000000004E-6</v>
      </c>
      <c r="S296">
        <v>4.1399999999999999E-2</v>
      </c>
      <c r="T296">
        <v>0.93700000000000006</v>
      </c>
      <c r="U296">
        <v>124.631</v>
      </c>
      <c r="V296">
        <v>4</v>
      </c>
    </row>
    <row r="297" spans="1:22" ht="15" customHeight="1" x14ac:dyDescent="0.2">
      <c r="A297" t="s">
        <v>1757</v>
      </c>
      <c r="B297" t="s">
        <v>1758</v>
      </c>
      <c r="C297" t="s">
        <v>1759</v>
      </c>
      <c r="D297" t="s">
        <v>1760</v>
      </c>
      <c r="E297" s="84">
        <v>44547</v>
      </c>
      <c r="F297">
        <v>166430</v>
      </c>
      <c r="G297">
        <v>44</v>
      </c>
      <c r="H297">
        <v>125771062</v>
      </c>
      <c r="I297" t="s">
        <v>1761</v>
      </c>
      <c r="K297">
        <v>0.51</v>
      </c>
      <c r="L297">
        <v>0.22700000000000001</v>
      </c>
      <c r="M297">
        <v>7</v>
      </c>
      <c r="N297">
        <v>-14.289</v>
      </c>
      <c r="O297">
        <v>1</v>
      </c>
      <c r="P297">
        <v>5.3400000000000003E-2</v>
      </c>
      <c r="Q297">
        <v>0.90300000000000002</v>
      </c>
      <c r="R297">
        <v>0</v>
      </c>
      <c r="S297">
        <v>0.125</v>
      </c>
      <c r="T297">
        <v>0.46700000000000003</v>
      </c>
      <c r="U297">
        <v>168.154</v>
      </c>
      <c r="V297">
        <v>4</v>
      </c>
    </row>
    <row r="298" spans="1:22" ht="15" customHeight="1" x14ac:dyDescent="0.2">
      <c r="A298" t="s">
        <v>1271</v>
      </c>
      <c r="B298" t="s">
        <v>761</v>
      </c>
      <c r="C298" t="s">
        <v>1272</v>
      </c>
      <c r="D298" t="s">
        <v>110</v>
      </c>
      <c r="E298" s="84">
        <v>33505</v>
      </c>
      <c r="F298">
        <v>264306</v>
      </c>
      <c r="G298">
        <v>87</v>
      </c>
      <c r="H298">
        <v>125771062</v>
      </c>
      <c r="I298" t="s">
        <v>1233</v>
      </c>
      <c r="J298" t="s">
        <v>1796</v>
      </c>
      <c r="K298">
        <v>0.55900000000000005</v>
      </c>
      <c r="L298">
        <v>0.34499999999999997</v>
      </c>
      <c r="M298">
        <v>4</v>
      </c>
      <c r="N298">
        <v>-13.496</v>
      </c>
      <c r="O298">
        <v>1</v>
      </c>
      <c r="P298">
        <v>4.5900000000000003E-2</v>
      </c>
      <c r="Q298">
        <v>5.7599999999999998E-2</v>
      </c>
      <c r="R298">
        <v>1.05E-4</v>
      </c>
      <c r="S298">
        <v>0.14099999999999999</v>
      </c>
      <c r="T298">
        <v>0.45800000000000002</v>
      </c>
      <c r="U298">
        <v>84.581000000000003</v>
      </c>
      <c r="V298">
        <v>4</v>
      </c>
    </row>
    <row r="299" spans="1:22" ht="15" customHeight="1" x14ac:dyDescent="0.2">
      <c r="A299" t="s">
        <v>1273</v>
      </c>
      <c r="B299" t="s">
        <v>762</v>
      </c>
      <c r="C299" t="s">
        <v>1274</v>
      </c>
      <c r="D299" t="s">
        <v>1964</v>
      </c>
      <c r="E299" s="84">
        <v>38718</v>
      </c>
      <c r="F299">
        <v>195146</v>
      </c>
      <c r="G299">
        <v>72</v>
      </c>
      <c r="H299">
        <v>125771062</v>
      </c>
      <c r="I299" t="s">
        <v>1233</v>
      </c>
      <c r="K299">
        <v>0.72699999999999998</v>
      </c>
      <c r="L299">
        <v>0.47399999999999998</v>
      </c>
      <c r="M299">
        <v>10</v>
      </c>
      <c r="N299">
        <v>-14.667</v>
      </c>
      <c r="O299">
        <v>1</v>
      </c>
      <c r="P299">
        <v>0.13800000000000001</v>
      </c>
      <c r="Q299">
        <v>0.70499999999999996</v>
      </c>
      <c r="R299">
        <v>0</v>
      </c>
      <c r="S299">
        <v>0.105</v>
      </c>
      <c r="T299">
        <v>0.82799999999999996</v>
      </c>
      <c r="U299">
        <v>99.965999999999994</v>
      </c>
      <c r="V299">
        <v>4</v>
      </c>
    </row>
    <row r="300" spans="1:22" ht="15" customHeight="1" x14ac:dyDescent="0.2">
      <c r="A300" t="s">
        <v>1772</v>
      </c>
      <c r="B300" t="s">
        <v>763</v>
      </c>
      <c r="C300" t="s">
        <v>1773</v>
      </c>
      <c r="D300" t="s">
        <v>446</v>
      </c>
      <c r="E300" s="84">
        <v>37327</v>
      </c>
      <c r="F300">
        <v>190666</v>
      </c>
      <c r="G300">
        <v>0</v>
      </c>
      <c r="H300">
        <v>125771062</v>
      </c>
      <c r="I300" t="s">
        <v>1774</v>
      </c>
      <c r="J300" t="s">
        <v>1787</v>
      </c>
      <c r="K300">
        <v>0.497</v>
      </c>
      <c r="L300">
        <v>0.217</v>
      </c>
      <c r="M300">
        <v>7</v>
      </c>
      <c r="N300">
        <v>-12.938000000000001</v>
      </c>
      <c r="O300">
        <v>1</v>
      </c>
      <c r="P300">
        <v>2.9499999999999998E-2</v>
      </c>
      <c r="Q300">
        <v>0.68899999999999995</v>
      </c>
      <c r="R300">
        <v>0</v>
      </c>
      <c r="S300">
        <v>8.8700000000000001E-2</v>
      </c>
      <c r="T300">
        <v>0.38300000000000001</v>
      </c>
      <c r="U300">
        <v>99.158000000000001</v>
      </c>
      <c r="V300">
        <v>3</v>
      </c>
    </row>
    <row r="301" spans="1:22" ht="15" customHeight="1" x14ac:dyDescent="0.2">
      <c r="A301" t="s">
        <v>1275</v>
      </c>
      <c r="B301" t="s">
        <v>786</v>
      </c>
      <c r="C301" t="s">
        <v>786</v>
      </c>
      <c r="D301" t="s">
        <v>787</v>
      </c>
      <c r="E301" s="84">
        <v>44440</v>
      </c>
      <c r="F301">
        <v>177720</v>
      </c>
      <c r="G301">
        <v>79</v>
      </c>
      <c r="H301">
        <v>125771062</v>
      </c>
      <c r="I301" t="s">
        <v>1276</v>
      </c>
      <c r="K301">
        <v>0.53900000000000003</v>
      </c>
      <c r="L301">
        <v>0.50800000000000001</v>
      </c>
      <c r="M301">
        <v>10</v>
      </c>
      <c r="N301">
        <v>-6.05</v>
      </c>
      <c r="O301">
        <v>1</v>
      </c>
      <c r="P301">
        <v>2.8799999999999999E-2</v>
      </c>
      <c r="Q301">
        <v>0.72699999999999998</v>
      </c>
      <c r="R301">
        <v>0</v>
      </c>
      <c r="S301">
        <v>0.17399999999999999</v>
      </c>
      <c r="T301">
        <v>0.22700000000000001</v>
      </c>
      <c r="U301">
        <v>101.358</v>
      </c>
      <c r="V301">
        <v>3</v>
      </c>
    </row>
    <row r="302" spans="1:22" ht="15" customHeight="1" x14ac:dyDescent="0.2">
      <c r="A302" t="s">
        <v>1277</v>
      </c>
      <c r="B302" t="s">
        <v>449</v>
      </c>
      <c r="C302" t="s">
        <v>1278</v>
      </c>
      <c r="D302" t="s">
        <v>342</v>
      </c>
      <c r="E302" s="84">
        <v>30536</v>
      </c>
      <c r="F302">
        <v>198294</v>
      </c>
      <c r="G302">
        <v>85</v>
      </c>
      <c r="H302">
        <v>125771062</v>
      </c>
      <c r="I302" t="s">
        <v>1233</v>
      </c>
      <c r="J302" t="s">
        <v>1787</v>
      </c>
      <c r="K302">
        <v>0.70099999999999996</v>
      </c>
      <c r="L302">
        <v>0.94399999999999995</v>
      </c>
      <c r="M302">
        <v>4</v>
      </c>
      <c r="N302">
        <v>-2.9860000000000002</v>
      </c>
      <c r="O302">
        <v>1</v>
      </c>
      <c r="P302">
        <v>4.5499999999999999E-2</v>
      </c>
      <c r="Q302">
        <v>7.5499999999999998E-2</v>
      </c>
      <c r="R302">
        <v>0</v>
      </c>
      <c r="S302">
        <v>0.60099999999999998</v>
      </c>
      <c r="T302">
        <v>0.79200000000000004</v>
      </c>
      <c r="U302">
        <v>128.99299999999999</v>
      </c>
      <c r="V302">
        <v>4</v>
      </c>
    </row>
    <row r="303" spans="1:22" ht="15" customHeight="1" x14ac:dyDescent="0.2">
      <c r="A303" t="s">
        <v>1279</v>
      </c>
      <c r="B303" t="s">
        <v>764</v>
      </c>
      <c r="C303" t="s">
        <v>1280</v>
      </c>
      <c r="D303" t="s">
        <v>1922</v>
      </c>
      <c r="E303" s="84">
        <v>39188</v>
      </c>
      <c r="F303">
        <v>219413</v>
      </c>
      <c r="G303">
        <v>84</v>
      </c>
      <c r="H303">
        <v>125771062</v>
      </c>
      <c r="I303" t="s">
        <v>1233</v>
      </c>
      <c r="K303">
        <v>0.69899999999999995</v>
      </c>
      <c r="L303">
        <v>0.83</v>
      </c>
      <c r="M303">
        <v>1</v>
      </c>
      <c r="N303">
        <v>-4.8979999999999997</v>
      </c>
      <c r="O303">
        <v>1</v>
      </c>
      <c r="P303">
        <v>6.3299999999999995E-2</v>
      </c>
      <c r="Q303">
        <v>2.4299999999999999E-3</v>
      </c>
      <c r="R303">
        <v>2.4000000000000001E-4</v>
      </c>
      <c r="S303">
        <v>9.9500000000000005E-2</v>
      </c>
      <c r="T303">
        <v>0.88900000000000001</v>
      </c>
      <c r="U303">
        <v>105.809</v>
      </c>
      <c r="V303">
        <v>4</v>
      </c>
    </row>
    <row r="304" spans="1:22" ht="15" customHeight="1" x14ac:dyDescent="0.2">
      <c r="A304" t="s">
        <v>1281</v>
      </c>
      <c r="B304" t="s">
        <v>450</v>
      </c>
      <c r="C304" t="s">
        <v>1282</v>
      </c>
      <c r="D304" t="s">
        <v>184</v>
      </c>
      <c r="E304" s="84">
        <v>39814</v>
      </c>
      <c r="F304">
        <v>231706</v>
      </c>
      <c r="G304">
        <v>63</v>
      </c>
      <c r="H304">
        <v>125771062</v>
      </c>
      <c r="I304" t="s">
        <v>1233</v>
      </c>
      <c r="K304">
        <v>0.58199999999999996</v>
      </c>
      <c r="L304">
        <v>0.52900000000000003</v>
      </c>
      <c r="M304">
        <v>11</v>
      </c>
      <c r="N304">
        <v>-7.6369999999999996</v>
      </c>
      <c r="O304">
        <v>1</v>
      </c>
      <c r="P304">
        <v>2.4799999999999999E-2</v>
      </c>
      <c r="Q304">
        <v>9.6100000000000005E-3</v>
      </c>
      <c r="R304">
        <v>5.5400000000000002E-4</v>
      </c>
      <c r="S304">
        <v>0.113</v>
      </c>
      <c r="T304">
        <v>0.56699999999999995</v>
      </c>
      <c r="U304">
        <v>166.13399999999999</v>
      </c>
      <c r="V304">
        <v>4</v>
      </c>
    </row>
    <row r="305" spans="1:22" ht="15" customHeight="1" x14ac:dyDescent="0.2">
      <c r="A305" t="s">
        <v>1283</v>
      </c>
      <c r="B305" t="s">
        <v>451</v>
      </c>
      <c r="C305" t="s">
        <v>1284</v>
      </c>
      <c r="D305" t="s">
        <v>452</v>
      </c>
      <c r="E305">
        <v>1969</v>
      </c>
      <c r="F305">
        <v>187533</v>
      </c>
      <c r="G305">
        <v>71</v>
      </c>
      <c r="H305">
        <v>125771062</v>
      </c>
      <c r="I305" t="s">
        <v>1233</v>
      </c>
      <c r="J305" t="s">
        <v>1331</v>
      </c>
      <c r="K305">
        <v>0.69099999999999995</v>
      </c>
      <c r="L305">
        <v>0.76200000000000001</v>
      </c>
      <c r="M305">
        <v>11</v>
      </c>
      <c r="N305">
        <v>-6.47</v>
      </c>
      <c r="O305">
        <v>0</v>
      </c>
      <c r="P305">
        <v>3.6700000000000003E-2</v>
      </c>
      <c r="Q305">
        <v>0.46200000000000002</v>
      </c>
      <c r="R305">
        <v>2.86E-2</v>
      </c>
      <c r="S305">
        <v>8.0399999999999999E-2</v>
      </c>
      <c r="T305">
        <v>0.95699999999999996</v>
      </c>
      <c r="U305">
        <v>128.11099999999999</v>
      </c>
      <c r="V305">
        <v>4</v>
      </c>
    </row>
    <row r="306" spans="1:22" ht="15" customHeight="1" x14ac:dyDescent="0.2">
      <c r="A306" t="s">
        <v>1285</v>
      </c>
      <c r="B306" t="s">
        <v>453</v>
      </c>
      <c r="C306" t="s">
        <v>1286</v>
      </c>
      <c r="D306" t="s">
        <v>28</v>
      </c>
      <c r="E306" s="84">
        <v>39605</v>
      </c>
      <c r="F306">
        <v>242373</v>
      </c>
      <c r="G306">
        <v>88</v>
      </c>
      <c r="H306">
        <v>125771062</v>
      </c>
      <c r="I306" t="s">
        <v>1233</v>
      </c>
      <c r="K306">
        <v>0.48599999999999999</v>
      </c>
      <c r="L306">
        <v>0.61699999999999999</v>
      </c>
      <c r="M306">
        <v>5</v>
      </c>
      <c r="N306">
        <v>-7.1150000000000002</v>
      </c>
      <c r="O306">
        <v>0</v>
      </c>
      <c r="P306">
        <v>2.87E-2</v>
      </c>
      <c r="Q306">
        <v>9.5399999999999999E-2</v>
      </c>
      <c r="R306">
        <v>3.23E-6</v>
      </c>
      <c r="S306">
        <v>0.109</v>
      </c>
      <c r="T306">
        <v>0.41699999999999998</v>
      </c>
      <c r="U306">
        <v>138.01499999999999</v>
      </c>
      <c r="V306">
        <v>4</v>
      </c>
    </row>
    <row r="307" spans="1:22" ht="15" customHeight="1" x14ac:dyDescent="0.2">
      <c r="A307" t="s">
        <v>1287</v>
      </c>
      <c r="B307" t="s">
        <v>455</v>
      </c>
      <c r="C307" t="b">
        <v>1</v>
      </c>
      <c r="D307" t="s">
        <v>456</v>
      </c>
      <c r="E307" s="84">
        <v>41533</v>
      </c>
      <c r="F307">
        <v>247426</v>
      </c>
      <c r="G307">
        <v>88</v>
      </c>
      <c r="H307">
        <v>125771062</v>
      </c>
      <c r="I307" t="s">
        <v>1233</v>
      </c>
      <c r="J307" t="s">
        <v>1860</v>
      </c>
      <c r="K307">
        <v>0.53200000000000003</v>
      </c>
      <c r="L307">
        <v>0.78300000000000003</v>
      </c>
      <c r="M307">
        <v>2</v>
      </c>
      <c r="N307">
        <v>-5.6970000000000001</v>
      </c>
      <c r="O307">
        <v>1</v>
      </c>
      <c r="P307">
        <v>5.2299999999999999E-2</v>
      </c>
      <c r="Q307">
        <v>3.8E-3</v>
      </c>
      <c r="R307">
        <v>1.1999999999999999E-3</v>
      </c>
      <c r="S307">
        <v>0.161</v>
      </c>
      <c r="T307">
        <v>0.64300000000000002</v>
      </c>
      <c r="U307">
        <v>124.08</v>
      </c>
      <c r="V307">
        <v>4</v>
      </c>
    </row>
    <row r="308" spans="1:22" ht="15" customHeight="1" x14ac:dyDescent="0.2">
      <c r="A308" t="s">
        <v>1288</v>
      </c>
      <c r="B308" t="s">
        <v>765</v>
      </c>
      <c r="C308" t="s">
        <v>1289</v>
      </c>
      <c r="D308" t="s">
        <v>208</v>
      </c>
      <c r="E308" s="84">
        <v>38251</v>
      </c>
      <c r="F308">
        <v>285653</v>
      </c>
      <c r="G308">
        <v>83</v>
      </c>
      <c r="H308">
        <v>125771062</v>
      </c>
      <c r="I308" t="s">
        <v>1233</v>
      </c>
      <c r="J308" t="s">
        <v>1817</v>
      </c>
      <c r="K308">
        <v>0.54600000000000004</v>
      </c>
      <c r="L308">
        <v>0.81399999999999995</v>
      </c>
      <c r="M308">
        <v>7</v>
      </c>
      <c r="N308">
        <v>-5.1459999999999999</v>
      </c>
      <c r="O308">
        <v>1</v>
      </c>
      <c r="P308">
        <v>3.1399999999999997E-2</v>
      </c>
      <c r="Q308">
        <v>2.3E-2</v>
      </c>
      <c r="R308">
        <v>0</v>
      </c>
      <c r="S308">
        <v>9.7199999999999995E-2</v>
      </c>
      <c r="T308">
        <v>0.14599999999999999</v>
      </c>
      <c r="U308">
        <v>104.98</v>
      </c>
      <c r="V308">
        <v>4</v>
      </c>
    </row>
    <row r="309" spans="1:22" ht="15" customHeight="1" x14ac:dyDescent="0.2">
      <c r="A309" t="s">
        <v>1290</v>
      </c>
      <c r="B309" t="s">
        <v>533</v>
      </c>
      <c r="C309" t="s">
        <v>1291</v>
      </c>
      <c r="D309" t="s">
        <v>534</v>
      </c>
      <c r="E309" s="84">
        <v>43812</v>
      </c>
      <c r="F309">
        <v>173991</v>
      </c>
      <c r="G309">
        <v>87</v>
      </c>
      <c r="H309">
        <v>125771062</v>
      </c>
      <c r="I309" t="s">
        <v>1233</v>
      </c>
      <c r="K309">
        <v>0.54800000000000004</v>
      </c>
      <c r="L309">
        <v>0.81599999999999995</v>
      </c>
      <c r="M309">
        <v>0</v>
      </c>
      <c r="N309">
        <v>-4.2089999999999996</v>
      </c>
      <c r="O309">
        <v>1</v>
      </c>
      <c r="P309">
        <v>4.65E-2</v>
      </c>
      <c r="Q309">
        <v>0.122</v>
      </c>
      <c r="R309">
        <v>0</v>
      </c>
      <c r="S309">
        <v>0.33500000000000002</v>
      </c>
      <c r="T309">
        <v>0.55700000000000005</v>
      </c>
      <c r="U309">
        <v>95.39</v>
      </c>
      <c r="V309">
        <v>4</v>
      </c>
    </row>
    <row r="310" spans="1:22" ht="15" customHeight="1" x14ac:dyDescent="0.2">
      <c r="A310" t="s">
        <v>1292</v>
      </c>
      <c r="B310" t="s">
        <v>766</v>
      </c>
      <c r="C310" t="s">
        <v>766</v>
      </c>
      <c r="D310" t="s">
        <v>274</v>
      </c>
      <c r="E310" s="84">
        <v>24838</v>
      </c>
      <c r="F310">
        <v>139226</v>
      </c>
      <c r="G310">
        <v>78</v>
      </c>
      <c r="H310">
        <v>125771062</v>
      </c>
      <c r="I310" t="s">
        <v>1233</v>
      </c>
      <c r="J310" t="s">
        <v>1952</v>
      </c>
      <c r="K310">
        <v>0.27100000000000002</v>
      </c>
      <c r="L310">
        <v>0.16500000000000001</v>
      </c>
      <c r="M310">
        <v>5</v>
      </c>
      <c r="N310">
        <v>-20.652000000000001</v>
      </c>
      <c r="O310">
        <v>1</v>
      </c>
      <c r="P310">
        <v>3.5099999999999999E-2</v>
      </c>
      <c r="Q310">
        <v>0.72599999999999998</v>
      </c>
      <c r="R310">
        <v>1.5400000000000001E-6</v>
      </c>
      <c r="S310">
        <v>0.11799999999999999</v>
      </c>
      <c r="T310">
        <v>0.20200000000000001</v>
      </c>
      <c r="U310">
        <v>77.081999999999994</v>
      </c>
      <c r="V310">
        <v>4</v>
      </c>
    </row>
    <row r="311" spans="1:22" ht="15" customHeight="1" x14ac:dyDescent="0.2">
      <c r="A311" t="s">
        <v>1293</v>
      </c>
      <c r="B311" t="s">
        <v>767</v>
      </c>
      <c r="C311" t="s">
        <v>1923</v>
      </c>
      <c r="D311" t="s">
        <v>462</v>
      </c>
      <c r="E311" s="84">
        <v>33604</v>
      </c>
      <c r="F311">
        <v>295533</v>
      </c>
      <c r="G311">
        <v>86</v>
      </c>
      <c r="H311">
        <v>125771062</v>
      </c>
      <c r="I311" t="s">
        <v>1294</v>
      </c>
      <c r="K311">
        <v>0.56499999999999995</v>
      </c>
      <c r="L311">
        <v>0.56399999999999995</v>
      </c>
      <c r="M311">
        <v>2</v>
      </c>
      <c r="N311">
        <v>-10.044</v>
      </c>
      <c r="O311">
        <v>1</v>
      </c>
      <c r="P311">
        <v>2.92E-2</v>
      </c>
      <c r="Q311">
        <v>0.161</v>
      </c>
      <c r="R311">
        <v>0</v>
      </c>
      <c r="S311">
        <v>0.114</v>
      </c>
      <c r="T311">
        <v>0.45400000000000001</v>
      </c>
      <c r="U311">
        <v>134.358</v>
      </c>
      <c r="V311">
        <v>4</v>
      </c>
    </row>
    <row r="312" spans="1:22" ht="15" customHeight="1" x14ac:dyDescent="0.2">
      <c r="A312" t="s">
        <v>1358</v>
      </c>
      <c r="B312" t="s">
        <v>1359</v>
      </c>
      <c r="C312" t="s">
        <v>1360</v>
      </c>
      <c r="D312" t="s">
        <v>1361</v>
      </c>
      <c r="E312" s="84">
        <v>36526</v>
      </c>
      <c r="F312">
        <v>256825</v>
      </c>
      <c r="G312">
        <v>72</v>
      </c>
      <c r="H312">
        <v>125771062</v>
      </c>
      <c r="I312" t="s">
        <v>1362</v>
      </c>
      <c r="K312">
        <v>0.46100000000000002</v>
      </c>
      <c r="L312">
        <v>0.44800000000000001</v>
      </c>
      <c r="M312">
        <v>7</v>
      </c>
      <c r="N312">
        <v>-10.664999999999999</v>
      </c>
      <c r="O312">
        <v>1</v>
      </c>
      <c r="P312">
        <v>2.46E-2</v>
      </c>
      <c r="Q312">
        <v>0.161</v>
      </c>
      <c r="R312">
        <v>1.1799999999999999E-6</v>
      </c>
      <c r="S312">
        <v>8.1100000000000005E-2</v>
      </c>
      <c r="T312">
        <v>0.41799999999999998</v>
      </c>
      <c r="U312">
        <v>173.86</v>
      </c>
      <c r="V312">
        <v>4</v>
      </c>
    </row>
    <row r="313" spans="1:22" ht="15" customHeight="1" x14ac:dyDescent="0.2">
      <c r="A313" t="s">
        <v>1295</v>
      </c>
      <c r="B313" t="s">
        <v>463</v>
      </c>
      <c r="C313" t="s">
        <v>1296</v>
      </c>
      <c r="D313" t="s">
        <v>464</v>
      </c>
      <c r="E313" s="84">
        <v>38987</v>
      </c>
      <c r="F313">
        <v>220426</v>
      </c>
      <c r="G313">
        <v>81</v>
      </c>
      <c r="H313">
        <v>125771062</v>
      </c>
      <c r="I313" t="s">
        <v>1294</v>
      </c>
      <c r="J313" t="s">
        <v>1839</v>
      </c>
      <c r="K313">
        <v>0.46700000000000003</v>
      </c>
      <c r="L313">
        <v>0.98799999999999999</v>
      </c>
      <c r="M313">
        <v>11</v>
      </c>
      <c r="N313">
        <v>-3.3130000000000002</v>
      </c>
      <c r="O313">
        <v>1</v>
      </c>
      <c r="P313">
        <v>0.112</v>
      </c>
      <c r="Q313">
        <v>1.5200000000000001E-4</v>
      </c>
      <c r="R313">
        <v>4.8399999999999999E-2</v>
      </c>
      <c r="S313">
        <v>0.28000000000000003</v>
      </c>
      <c r="T313">
        <v>0.32100000000000001</v>
      </c>
      <c r="U313">
        <v>130.43299999999999</v>
      </c>
      <c r="V313">
        <v>4</v>
      </c>
    </row>
    <row r="314" spans="1:22" ht="15" customHeight="1" x14ac:dyDescent="0.2">
      <c r="A314" t="s">
        <v>1297</v>
      </c>
      <c r="B314" t="s">
        <v>1924</v>
      </c>
      <c r="C314" t="s">
        <v>1127</v>
      </c>
      <c r="D314" t="s">
        <v>324</v>
      </c>
      <c r="E314" s="84">
        <v>37208</v>
      </c>
      <c r="F314">
        <v>196160</v>
      </c>
      <c r="G314">
        <v>80</v>
      </c>
      <c r="H314">
        <v>125771062</v>
      </c>
      <c r="I314" t="s">
        <v>1294</v>
      </c>
      <c r="J314" t="s">
        <v>1841</v>
      </c>
      <c r="K314">
        <v>0.79400000000000004</v>
      </c>
      <c r="L314">
        <v>0.83199999999999996</v>
      </c>
      <c r="M314">
        <v>1</v>
      </c>
      <c r="N314">
        <v>-4.8620000000000001</v>
      </c>
      <c r="O314">
        <v>0</v>
      </c>
      <c r="P314">
        <v>4.07E-2</v>
      </c>
      <c r="Q314">
        <v>0.23699999999999999</v>
      </c>
      <c r="R314">
        <v>1.1399999999999999E-5</v>
      </c>
      <c r="S314">
        <v>0.20300000000000001</v>
      </c>
      <c r="T314">
        <v>0.871</v>
      </c>
      <c r="U314">
        <v>107.657</v>
      </c>
      <c r="V314">
        <v>4</v>
      </c>
    </row>
    <row r="315" spans="1:22" ht="15" customHeight="1" x14ac:dyDescent="0.2">
      <c r="A315" t="s">
        <v>1298</v>
      </c>
      <c r="B315" t="s">
        <v>465</v>
      </c>
      <c r="C315" t="s">
        <v>1299</v>
      </c>
      <c r="D315" t="s">
        <v>466</v>
      </c>
      <c r="E315" s="84">
        <v>37867</v>
      </c>
      <c r="F315">
        <v>240600</v>
      </c>
      <c r="G315">
        <v>66</v>
      </c>
      <c r="H315">
        <v>125771062</v>
      </c>
      <c r="I315" t="s">
        <v>1294</v>
      </c>
      <c r="K315">
        <v>0.50900000000000001</v>
      </c>
      <c r="L315">
        <v>0.53800000000000003</v>
      </c>
      <c r="M315">
        <v>5</v>
      </c>
      <c r="N315">
        <v>-6.835</v>
      </c>
      <c r="O315">
        <v>1</v>
      </c>
      <c r="P315">
        <v>3.7900000000000003E-2</v>
      </c>
      <c r="Q315">
        <v>0.30599999999999999</v>
      </c>
      <c r="R315">
        <v>5.0300000000000001E-6</v>
      </c>
      <c r="S315">
        <v>9.0999999999999998E-2</v>
      </c>
      <c r="T315">
        <v>0.28399999999999997</v>
      </c>
      <c r="U315">
        <v>170.11099999999999</v>
      </c>
      <c r="V315">
        <v>4</v>
      </c>
    </row>
    <row r="316" spans="1:22" ht="15" customHeight="1" x14ac:dyDescent="0.2">
      <c r="A316" t="s">
        <v>1300</v>
      </c>
      <c r="B316" t="s">
        <v>467</v>
      </c>
      <c r="C316" t="s">
        <v>1301</v>
      </c>
      <c r="D316" t="s">
        <v>468</v>
      </c>
      <c r="E316" s="84">
        <v>32672</v>
      </c>
      <c r="F316">
        <v>289066</v>
      </c>
      <c r="G316">
        <v>86</v>
      </c>
      <c r="H316">
        <v>125771062</v>
      </c>
      <c r="I316" t="s">
        <v>1294</v>
      </c>
      <c r="K316">
        <v>0.66300000000000003</v>
      </c>
      <c r="L316">
        <v>0.29599999999999999</v>
      </c>
      <c r="M316">
        <v>9</v>
      </c>
      <c r="N316">
        <v>-18.09</v>
      </c>
      <c r="O316">
        <v>1</v>
      </c>
      <c r="P316">
        <v>2.9399999999999999E-2</v>
      </c>
      <c r="Q316">
        <v>0.68</v>
      </c>
      <c r="R316">
        <v>8.3700000000000007E-3</v>
      </c>
      <c r="S316">
        <v>8.7900000000000006E-2</v>
      </c>
      <c r="T316">
        <v>0.35899999999999999</v>
      </c>
      <c r="U316">
        <v>112.306</v>
      </c>
      <c r="V316">
        <v>4</v>
      </c>
    </row>
    <row r="317" spans="1:22" ht="15" customHeight="1" x14ac:dyDescent="0.2">
      <c r="A317" t="s">
        <v>1302</v>
      </c>
      <c r="B317" t="s">
        <v>469</v>
      </c>
      <c r="C317" t="s">
        <v>1303</v>
      </c>
      <c r="D317" t="s">
        <v>1304</v>
      </c>
      <c r="E317" s="84">
        <v>44792</v>
      </c>
      <c r="F317">
        <v>200573</v>
      </c>
      <c r="G317">
        <v>0</v>
      </c>
      <c r="H317">
        <v>125771062</v>
      </c>
      <c r="I317" t="s">
        <v>1294</v>
      </c>
      <c r="J317" t="s">
        <v>1861</v>
      </c>
      <c r="K317">
        <v>0.48399999999999999</v>
      </c>
      <c r="L317">
        <v>0.50900000000000001</v>
      </c>
      <c r="M317">
        <v>0</v>
      </c>
      <c r="N317">
        <v>-9.4120000000000008</v>
      </c>
      <c r="O317">
        <v>1</v>
      </c>
      <c r="P317">
        <v>3.5700000000000003E-2</v>
      </c>
      <c r="Q317">
        <v>0.36699999999999999</v>
      </c>
      <c r="R317">
        <v>6.8599999999999998E-4</v>
      </c>
      <c r="S317">
        <v>0.112</v>
      </c>
      <c r="T317">
        <v>0.54900000000000004</v>
      </c>
      <c r="U317">
        <v>151.93700000000001</v>
      </c>
      <c r="V317">
        <v>4</v>
      </c>
    </row>
    <row r="318" spans="1:22" ht="15" customHeight="1" x14ac:dyDescent="0.2">
      <c r="A318" t="s">
        <v>1305</v>
      </c>
      <c r="B318" t="s">
        <v>471</v>
      </c>
      <c r="C318" t="s">
        <v>1306</v>
      </c>
      <c r="D318" t="s">
        <v>11</v>
      </c>
      <c r="E318" s="84">
        <v>38572</v>
      </c>
      <c r="F318">
        <v>221773</v>
      </c>
      <c r="G318">
        <v>56</v>
      </c>
      <c r="H318">
        <v>125771062</v>
      </c>
      <c r="I318" t="s">
        <v>1294</v>
      </c>
      <c r="K318">
        <v>0.63300000000000001</v>
      </c>
      <c r="L318">
        <v>0.70099999999999996</v>
      </c>
      <c r="M318">
        <v>10</v>
      </c>
      <c r="N318">
        <v>-5.9690000000000003</v>
      </c>
      <c r="O318">
        <v>1</v>
      </c>
      <c r="P318">
        <v>2.6700000000000002E-2</v>
      </c>
      <c r="Q318">
        <v>0.253</v>
      </c>
      <c r="R318">
        <v>4.7899999999999999E-5</v>
      </c>
      <c r="S318">
        <v>0.16500000000000001</v>
      </c>
      <c r="T318">
        <v>0.63400000000000001</v>
      </c>
      <c r="U318">
        <v>151.892</v>
      </c>
      <c r="V318">
        <v>4</v>
      </c>
    </row>
    <row r="319" spans="1:22" ht="15" customHeight="1" x14ac:dyDescent="0.2">
      <c r="A319" t="s">
        <v>1307</v>
      </c>
      <c r="B319" t="s">
        <v>472</v>
      </c>
      <c r="C319" t="s">
        <v>472</v>
      </c>
      <c r="D319" t="s">
        <v>473</v>
      </c>
      <c r="E319" s="84">
        <v>27649</v>
      </c>
      <c r="F319">
        <v>338466</v>
      </c>
      <c r="G319">
        <v>84</v>
      </c>
      <c r="H319">
        <v>125771062</v>
      </c>
      <c r="I319" t="s">
        <v>1294</v>
      </c>
      <c r="J319" t="s">
        <v>1862</v>
      </c>
      <c r="K319">
        <v>0.48099999999999998</v>
      </c>
      <c r="L319">
        <v>0.26200000000000001</v>
      </c>
      <c r="M319">
        <v>7</v>
      </c>
      <c r="N319">
        <v>-15.73</v>
      </c>
      <c r="O319">
        <v>1</v>
      </c>
      <c r="P319">
        <v>4.1399999999999999E-2</v>
      </c>
      <c r="Q319">
        <v>0.73499999999999999</v>
      </c>
      <c r="R319">
        <v>1.14E-2</v>
      </c>
      <c r="S319">
        <v>0.83199999999999996</v>
      </c>
      <c r="T319">
        <v>0.375</v>
      </c>
      <c r="U319">
        <v>122.861</v>
      </c>
      <c r="V319">
        <v>4</v>
      </c>
    </row>
    <row r="320" spans="1:22" ht="15" customHeight="1" x14ac:dyDescent="0.2">
      <c r="A320" t="s">
        <v>1581</v>
      </c>
      <c r="B320" t="s">
        <v>1575</v>
      </c>
      <c r="C320" t="s">
        <v>1582</v>
      </c>
      <c r="D320" t="s">
        <v>1574</v>
      </c>
      <c r="E320" s="84">
        <v>38718</v>
      </c>
      <c r="F320">
        <v>296226</v>
      </c>
      <c r="G320">
        <v>58</v>
      </c>
      <c r="H320">
        <v>125771062</v>
      </c>
      <c r="I320" t="s">
        <v>1583</v>
      </c>
      <c r="J320" t="s">
        <v>1842</v>
      </c>
      <c r="K320">
        <v>0.54600000000000004</v>
      </c>
      <c r="L320">
        <v>0.53900000000000003</v>
      </c>
      <c r="M320">
        <v>2</v>
      </c>
      <c r="N320">
        <v>-7.3419999999999996</v>
      </c>
      <c r="O320">
        <v>1</v>
      </c>
      <c r="P320">
        <v>2.6700000000000002E-2</v>
      </c>
      <c r="Q320">
        <v>1.35E-4</v>
      </c>
      <c r="R320">
        <v>0.23499999999999999</v>
      </c>
      <c r="S320">
        <v>0.11899999999999999</v>
      </c>
      <c r="T320">
        <v>0.122</v>
      </c>
      <c r="U320">
        <v>109.92</v>
      </c>
      <c r="V320">
        <v>4</v>
      </c>
    </row>
    <row r="321" spans="1:22" ht="15" customHeight="1" x14ac:dyDescent="0.2">
      <c r="A321" t="s">
        <v>1308</v>
      </c>
      <c r="B321" t="s">
        <v>475</v>
      </c>
      <c r="C321" t="s">
        <v>1309</v>
      </c>
      <c r="D321" t="s">
        <v>64</v>
      </c>
      <c r="E321" s="84">
        <v>28430</v>
      </c>
      <c r="F321">
        <v>225026</v>
      </c>
      <c r="G321">
        <v>73</v>
      </c>
      <c r="H321">
        <v>125771062</v>
      </c>
      <c r="I321" t="s">
        <v>1294</v>
      </c>
      <c r="J321" t="s">
        <v>1833</v>
      </c>
      <c r="K321">
        <v>0.57199999999999995</v>
      </c>
      <c r="L321">
        <v>0.214</v>
      </c>
      <c r="M321">
        <v>7</v>
      </c>
      <c r="N321">
        <v>-15.625</v>
      </c>
      <c r="O321">
        <v>1</v>
      </c>
      <c r="P321">
        <v>2.93E-2</v>
      </c>
      <c r="Q321">
        <v>0.64900000000000002</v>
      </c>
      <c r="R321">
        <v>0.129</v>
      </c>
      <c r="S321">
        <v>0.125</v>
      </c>
      <c r="T321">
        <v>0.48499999999999999</v>
      </c>
      <c r="U321">
        <v>95.542000000000002</v>
      </c>
      <c r="V321">
        <v>4</v>
      </c>
    </row>
    <row r="322" spans="1:22" ht="15" customHeight="1" x14ac:dyDescent="0.2">
      <c r="A322" t="s">
        <v>1310</v>
      </c>
      <c r="B322" t="s">
        <v>476</v>
      </c>
      <c r="C322" t="s">
        <v>940</v>
      </c>
      <c r="D322" t="s">
        <v>153</v>
      </c>
      <c r="E322" s="84">
        <v>34974</v>
      </c>
      <c r="F322">
        <v>258906</v>
      </c>
      <c r="G322">
        <v>78</v>
      </c>
      <c r="H322">
        <v>125771062</v>
      </c>
      <c r="I322" t="s">
        <v>1294</v>
      </c>
      <c r="J322" t="s">
        <v>1803</v>
      </c>
      <c r="K322">
        <v>0.41</v>
      </c>
      <c r="L322">
        <v>0.85399999999999998</v>
      </c>
      <c r="M322">
        <v>2</v>
      </c>
      <c r="N322">
        <v>-5.609</v>
      </c>
      <c r="O322">
        <v>1</v>
      </c>
      <c r="P322">
        <v>3.6600000000000001E-2</v>
      </c>
      <c r="Q322">
        <v>2.3600000000000001E-3</v>
      </c>
      <c r="R322">
        <v>0</v>
      </c>
      <c r="S322">
        <v>0.13300000000000001</v>
      </c>
      <c r="T322">
        <v>0.45600000000000002</v>
      </c>
      <c r="U322">
        <v>174.584</v>
      </c>
      <c r="V322">
        <v>4</v>
      </c>
    </row>
    <row r="323" spans="1:22" ht="15" customHeight="1" x14ac:dyDescent="0.2">
      <c r="A323" t="s">
        <v>1311</v>
      </c>
      <c r="B323" t="s">
        <v>477</v>
      </c>
      <c r="C323" t="s">
        <v>1312</v>
      </c>
      <c r="D323" t="s">
        <v>28</v>
      </c>
      <c r="E323" s="84">
        <v>36717</v>
      </c>
      <c r="F323">
        <v>266773</v>
      </c>
      <c r="G323">
        <v>92</v>
      </c>
      <c r="H323">
        <v>125771062</v>
      </c>
      <c r="I323" t="s">
        <v>1294</v>
      </c>
      <c r="K323">
        <v>0.42899999999999999</v>
      </c>
      <c r="L323">
        <v>0.66100000000000003</v>
      </c>
      <c r="M323">
        <v>11</v>
      </c>
      <c r="N323">
        <v>-7.2270000000000003</v>
      </c>
      <c r="O323">
        <v>1</v>
      </c>
      <c r="P323">
        <v>2.81E-2</v>
      </c>
      <c r="Q323">
        <v>2.3900000000000002E-3</v>
      </c>
      <c r="R323">
        <v>1.21E-4</v>
      </c>
      <c r="S323">
        <v>0.23400000000000001</v>
      </c>
      <c r="T323">
        <v>0.28499999999999998</v>
      </c>
      <c r="U323">
        <v>173.37200000000001</v>
      </c>
      <c r="V323">
        <v>4</v>
      </c>
    </row>
    <row r="324" spans="1:22" ht="15" customHeight="1" x14ac:dyDescent="0.2">
      <c r="A324" t="s">
        <v>1762</v>
      </c>
      <c r="B324" t="s">
        <v>1763</v>
      </c>
      <c r="C324" t="s">
        <v>1321</v>
      </c>
      <c r="D324" t="s">
        <v>673</v>
      </c>
      <c r="E324" s="84">
        <v>23960</v>
      </c>
      <c r="F324">
        <v>125666</v>
      </c>
      <c r="G324">
        <v>78</v>
      </c>
      <c r="H324">
        <v>125771062</v>
      </c>
      <c r="I324" t="s">
        <v>1764</v>
      </c>
      <c r="J324" t="s">
        <v>1781</v>
      </c>
      <c r="K324">
        <v>0.33200000000000002</v>
      </c>
      <c r="L324">
        <v>0.17899999999999999</v>
      </c>
      <c r="M324">
        <v>5</v>
      </c>
      <c r="N324">
        <v>-11.83</v>
      </c>
      <c r="O324">
        <v>1</v>
      </c>
      <c r="P324">
        <v>3.2599999999999997E-2</v>
      </c>
      <c r="Q324">
        <v>0.879</v>
      </c>
      <c r="R324">
        <v>0</v>
      </c>
      <c r="S324">
        <v>8.8599999999999998E-2</v>
      </c>
      <c r="T324">
        <v>0.315</v>
      </c>
      <c r="U324">
        <v>96.524000000000001</v>
      </c>
      <c r="V324">
        <v>4</v>
      </c>
    </row>
    <row r="325" spans="1:22" ht="15" customHeight="1" x14ac:dyDescent="0.2">
      <c r="A325" t="s">
        <v>1313</v>
      </c>
      <c r="B325" t="s">
        <v>479</v>
      </c>
      <c r="C325" t="s">
        <v>480</v>
      </c>
      <c r="D325" t="s">
        <v>480</v>
      </c>
      <c r="E325" s="84">
        <v>38433</v>
      </c>
      <c r="F325">
        <v>195493</v>
      </c>
      <c r="G325">
        <v>78</v>
      </c>
      <c r="H325">
        <v>125771062</v>
      </c>
      <c r="I325" t="s">
        <v>1294</v>
      </c>
      <c r="J325" t="s">
        <v>1822</v>
      </c>
      <c r="K325">
        <v>0.45900000000000002</v>
      </c>
      <c r="L325">
        <v>0.42699999999999999</v>
      </c>
      <c r="M325">
        <v>7</v>
      </c>
      <c r="N325">
        <v>-7.734</v>
      </c>
      <c r="O325">
        <v>1</v>
      </c>
      <c r="P325">
        <v>2.6700000000000002E-2</v>
      </c>
      <c r="Q325">
        <v>0.114</v>
      </c>
      <c r="R325">
        <v>0</v>
      </c>
      <c r="S325">
        <v>0.16800000000000001</v>
      </c>
      <c r="T325">
        <v>0.35399999999999998</v>
      </c>
      <c r="U325">
        <v>139.90199999999999</v>
      </c>
      <c r="V325">
        <v>3</v>
      </c>
    </row>
    <row r="326" spans="1:22" ht="15" customHeight="1" x14ac:dyDescent="0.2">
      <c r="A326" t="s">
        <v>1314</v>
      </c>
      <c r="B326" t="s">
        <v>482</v>
      </c>
      <c r="C326" t="s">
        <v>1315</v>
      </c>
      <c r="D326" t="s">
        <v>122</v>
      </c>
      <c r="E326" s="84">
        <v>42293</v>
      </c>
      <c r="F326">
        <v>150506</v>
      </c>
      <c r="G326">
        <v>32</v>
      </c>
      <c r="H326">
        <v>125771062</v>
      </c>
      <c r="I326" t="s">
        <v>1294</v>
      </c>
      <c r="K326">
        <v>0.55300000000000005</v>
      </c>
      <c r="L326">
        <v>0.91300000000000003</v>
      </c>
      <c r="M326">
        <v>4</v>
      </c>
      <c r="N326">
        <v>-5.6230000000000002</v>
      </c>
      <c r="O326">
        <v>0</v>
      </c>
      <c r="P326">
        <v>0.108</v>
      </c>
      <c r="Q326">
        <v>4.8399999999999999E-2</v>
      </c>
      <c r="R326">
        <v>0.15</v>
      </c>
      <c r="S326">
        <v>0.14699999999999999</v>
      </c>
      <c r="T326">
        <v>0.45600000000000002</v>
      </c>
      <c r="U326">
        <v>100.047</v>
      </c>
      <c r="V326">
        <v>4</v>
      </c>
    </row>
    <row r="327" spans="1:22" ht="15" customHeight="1" x14ac:dyDescent="0.2">
      <c r="A327" t="s">
        <v>1316</v>
      </c>
      <c r="B327" t="s">
        <v>487</v>
      </c>
      <c r="C327" t="s">
        <v>363</v>
      </c>
      <c r="D327" t="s">
        <v>363</v>
      </c>
      <c r="E327" s="84">
        <v>25668</v>
      </c>
      <c r="F327">
        <v>241786</v>
      </c>
      <c r="G327">
        <v>81</v>
      </c>
      <c r="H327">
        <v>125771062</v>
      </c>
      <c r="I327" t="s">
        <v>1294</v>
      </c>
      <c r="K327">
        <v>0.55200000000000005</v>
      </c>
      <c r="L327">
        <v>0.315</v>
      </c>
      <c r="M327">
        <v>3</v>
      </c>
      <c r="N327">
        <v>-11.028</v>
      </c>
      <c r="O327">
        <v>1</v>
      </c>
      <c r="P327">
        <v>2.9899999999999999E-2</v>
      </c>
      <c r="Q327">
        <v>0.82799999999999996</v>
      </c>
      <c r="R327">
        <v>5.5199999999999997E-6</v>
      </c>
      <c r="S327">
        <v>0.10100000000000001</v>
      </c>
      <c r="T327">
        <v>0.32400000000000001</v>
      </c>
      <c r="U327">
        <v>128.18700000000001</v>
      </c>
      <c r="V327">
        <v>4</v>
      </c>
    </row>
    <row r="328" spans="1:22" ht="15" customHeight="1" x14ac:dyDescent="0.2">
      <c r="A328" t="s">
        <v>1317</v>
      </c>
      <c r="B328" t="s">
        <v>483</v>
      </c>
      <c r="C328" t="s">
        <v>1306</v>
      </c>
      <c r="D328" t="s">
        <v>11</v>
      </c>
      <c r="E328" s="84">
        <v>38572</v>
      </c>
      <c r="F328">
        <v>209493</v>
      </c>
      <c r="G328">
        <v>78</v>
      </c>
      <c r="H328">
        <v>125771062</v>
      </c>
      <c r="I328" t="s">
        <v>1294</v>
      </c>
      <c r="K328">
        <v>0.67500000000000004</v>
      </c>
      <c r="L328">
        <v>0.47899999999999998</v>
      </c>
      <c r="M328">
        <v>0</v>
      </c>
      <c r="N328">
        <v>-9.8699999999999992</v>
      </c>
      <c r="O328">
        <v>0</v>
      </c>
      <c r="P328">
        <v>2.7799999999999998E-2</v>
      </c>
      <c r="Q328">
        <v>0.63300000000000001</v>
      </c>
      <c r="R328">
        <v>1.7600000000000001E-5</v>
      </c>
      <c r="S328">
        <v>8.7999999999999995E-2</v>
      </c>
      <c r="T328">
        <v>0.45400000000000001</v>
      </c>
      <c r="U328">
        <v>81.998000000000005</v>
      </c>
      <c r="V328">
        <v>4</v>
      </c>
    </row>
    <row r="329" spans="1:22" ht="15" customHeight="1" x14ac:dyDescent="0.2">
      <c r="A329" t="s">
        <v>1318</v>
      </c>
      <c r="B329" t="s">
        <v>484</v>
      </c>
      <c r="C329" t="s">
        <v>1319</v>
      </c>
      <c r="D329" t="s">
        <v>485</v>
      </c>
      <c r="E329" s="84">
        <v>35738</v>
      </c>
      <c r="F329">
        <v>212200</v>
      </c>
      <c r="G329">
        <v>75</v>
      </c>
      <c r="H329">
        <v>125771062</v>
      </c>
      <c r="I329" t="s">
        <v>1294</v>
      </c>
      <c r="J329" t="s">
        <v>1863</v>
      </c>
      <c r="K329">
        <v>0.58499999999999996</v>
      </c>
      <c r="L329">
        <v>0.49399999999999999</v>
      </c>
      <c r="M329">
        <v>3</v>
      </c>
      <c r="N329">
        <v>-8.7509999999999994</v>
      </c>
      <c r="O329">
        <v>1</v>
      </c>
      <c r="P329">
        <v>3.5299999999999998E-2</v>
      </c>
      <c r="Q329">
        <v>0.36299999999999999</v>
      </c>
      <c r="R329">
        <v>0</v>
      </c>
      <c r="S329">
        <v>8.8499999999999995E-2</v>
      </c>
      <c r="T329">
        <v>0.63400000000000001</v>
      </c>
      <c r="U329">
        <v>133.828</v>
      </c>
      <c r="V329">
        <v>4</v>
      </c>
    </row>
    <row r="330" spans="1:22" ht="15" customHeight="1" x14ac:dyDescent="0.2">
      <c r="A330" t="s">
        <v>1320</v>
      </c>
      <c r="B330" t="s">
        <v>768</v>
      </c>
      <c r="C330" t="s">
        <v>1321</v>
      </c>
      <c r="D330" t="s">
        <v>673</v>
      </c>
      <c r="E330" s="84">
        <v>23960</v>
      </c>
      <c r="F330">
        <v>129119</v>
      </c>
      <c r="G330">
        <v>66</v>
      </c>
      <c r="H330">
        <v>125771062</v>
      </c>
      <c r="I330" t="s">
        <v>1294</v>
      </c>
      <c r="J330" t="s">
        <v>1781</v>
      </c>
      <c r="K330">
        <v>0.39900000000000002</v>
      </c>
      <c r="L330">
        <v>0.39400000000000002</v>
      </c>
      <c r="M330">
        <v>7</v>
      </c>
      <c r="N330">
        <v>-9.0500000000000007</v>
      </c>
      <c r="O330">
        <v>1</v>
      </c>
      <c r="P330">
        <v>2.8199999999999999E-2</v>
      </c>
      <c r="Q330">
        <v>0.21099999999999999</v>
      </c>
      <c r="R330">
        <v>0</v>
      </c>
      <c r="S330">
        <v>0.10199999999999999</v>
      </c>
      <c r="T330">
        <v>0.38200000000000001</v>
      </c>
      <c r="U330">
        <v>184.274</v>
      </c>
      <c r="V330">
        <v>3</v>
      </c>
    </row>
    <row r="331" spans="1:22" ht="15" customHeight="1" x14ac:dyDescent="0.2">
      <c r="A331" t="s">
        <v>1322</v>
      </c>
      <c r="B331" t="s">
        <v>488</v>
      </c>
      <c r="C331" t="s">
        <v>1323</v>
      </c>
      <c r="D331" t="s">
        <v>769</v>
      </c>
      <c r="E331" s="84">
        <v>34610</v>
      </c>
      <c r="F331">
        <v>306440</v>
      </c>
      <c r="G331">
        <v>20</v>
      </c>
      <c r="H331">
        <v>125771062</v>
      </c>
      <c r="I331" t="s">
        <v>1294</v>
      </c>
      <c r="K331">
        <v>0.309</v>
      </c>
      <c r="L331">
        <v>0.64900000000000002</v>
      </c>
      <c r="M331">
        <v>7</v>
      </c>
      <c r="N331">
        <v>-8.9939999999999998</v>
      </c>
      <c r="O331">
        <v>1</v>
      </c>
      <c r="P331">
        <v>3.5000000000000003E-2</v>
      </c>
      <c r="Q331">
        <v>1.5800000000000002E-2</v>
      </c>
      <c r="R331">
        <v>5.9100000000000003E-3</v>
      </c>
      <c r="S331">
        <v>0.36699999999999999</v>
      </c>
      <c r="T331">
        <v>0.312</v>
      </c>
      <c r="U331">
        <v>166.91499999999999</v>
      </c>
      <c r="V331">
        <v>4</v>
      </c>
    </row>
    <row r="332" spans="1:22" ht="15" customHeight="1" x14ac:dyDescent="0.2">
      <c r="E332" s="84"/>
    </row>
    <row r="333" spans="1:22" ht="15" customHeight="1" x14ac:dyDescent="0.2">
      <c r="E333" s="84"/>
    </row>
    <row r="334" spans="1:22" ht="15" customHeight="1" x14ac:dyDescent="0.2">
      <c r="E334" s="84"/>
    </row>
    <row r="335" spans="1:22" ht="15" customHeight="1" x14ac:dyDescent="0.2">
      <c r="E335" s="84"/>
    </row>
    <row r="336" spans="1:22" ht="15" customHeight="1" x14ac:dyDescent="0.2">
      <c r="E336" s="84"/>
    </row>
    <row r="337" spans="5:5" ht="15" customHeight="1" x14ac:dyDescent="0.2">
      <c r="E337" s="84"/>
    </row>
    <row r="338" spans="5:5" ht="15" customHeight="1" x14ac:dyDescent="0.2">
      <c r="E338" s="84"/>
    </row>
    <row r="339" spans="5:5" ht="15" customHeight="1" x14ac:dyDescent="0.2">
      <c r="E339" s="84"/>
    </row>
    <row r="340" spans="5:5" ht="15" customHeight="1" x14ac:dyDescent="0.2">
      <c r="E340" s="84"/>
    </row>
    <row r="341" spans="5:5" ht="15" customHeight="1" x14ac:dyDescent="0.2">
      <c r="E341" s="84"/>
    </row>
    <row r="342" spans="5:5" ht="15" customHeight="1" x14ac:dyDescent="0.2">
      <c r="E342" s="84"/>
    </row>
    <row r="343" spans="5:5" ht="15" customHeight="1" x14ac:dyDescent="0.2">
      <c r="E343" s="84"/>
    </row>
    <row r="344" spans="5:5" ht="15" customHeight="1" x14ac:dyDescent="0.2">
      <c r="E344" s="84"/>
    </row>
    <row r="345" spans="5:5" ht="15" customHeight="1" x14ac:dyDescent="0.2">
      <c r="E345" s="84"/>
    </row>
    <row r="346" spans="5:5" ht="15" customHeight="1" x14ac:dyDescent="0.2">
      <c r="E346" s="84"/>
    </row>
    <row r="347" spans="5:5" ht="15" customHeight="1" x14ac:dyDescent="0.2">
      <c r="E347" s="84"/>
    </row>
    <row r="348" spans="5:5" ht="15" customHeight="1" x14ac:dyDescent="0.2">
      <c r="E348" s="84"/>
    </row>
    <row r="349" spans="5:5" ht="15" customHeight="1" x14ac:dyDescent="0.2">
      <c r="E349" s="84"/>
    </row>
    <row r="350" spans="5:5" ht="15" customHeight="1" x14ac:dyDescent="0.2">
      <c r="E350" s="84"/>
    </row>
    <row r="351" spans="5:5" ht="15" customHeight="1" x14ac:dyDescent="0.2">
      <c r="E351" s="84"/>
    </row>
    <row r="352" spans="5:5" ht="15" customHeight="1" x14ac:dyDescent="0.2">
      <c r="E352" s="84"/>
    </row>
    <row r="353" spans="5:5" ht="15" customHeight="1" x14ac:dyDescent="0.2">
      <c r="E353" s="8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AMK141"/>
  <sheetViews>
    <sheetView zoomScale="146" zoomScaleNormal="115" workbookViewId="0">
      <pane ySplit="1" topLeftCell="A8" activePane="bottomLeft" state="frozen"/>
      <selection pane="bottomLeft" activeCell="A33" sqref="A33"/>
    </sheetView>
  </sheetViews>
  <sheetFormatPr defaultRowHeight="12.75" x14ac:dyDescent="0.2"/>
  <cols>
    <col min="1" max="1" width="1.28515625" style="1" customWidth="1"/>
    <col min="2" max="2" width="4.42578125" style="1" customWidth="1"/>
    <col min="3" max="3" width="4.28515625" style="1" customWidth="1"/>
    <col min="4" max="4" width="24.5703125" style="2" customWidth="1"/>
    <col min="5" max="5" width="13.7109375" style="1" customWidth="1"/>
    <col min="6" max="6" width="11.28515625" style="1" customWidth="1"/>
    <col min="7" max="7" width="4.7109375" style="3" customWidth="1"/>
    <col min="8" max="8" width="11" style="1" customWidth="1"/>
    <col min="9" max="9" width="15.28515625" style="1" customWidth="1"/>
    <col min="10" max="10" width="15.5703125" style="4" customWidth="1"/>
    <col min="11" max="11" width="14.28515625" style="1" customWidth="1"/>
    <col min="12" max="12" width="14.5703125" style="1" customWidth="1"/>
    <col min="13" max="1025" width="14.42578125" style="1" customWidth="1"/>
  </cols>
  <sheetData>
    <row r="1" spans="1:1024" x14ac:dyDescent="0.2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8" t="s">
        <v>6</v>
      </c>
      <c r="H1" s="6" t="s">
        <v>7</v>
      </c>
      <c r="I1" s="6" t="s">
        <v>8</v>
      </c>
      <c r="J1" s="9" t="s">
        <v>9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1024" hidden="1" x14ac:dyDescent="0.2">
      <c r="A2" s="11"/>
      <c r="B2" s="11"/>
      <c r="C2" s="10"/>
      <c r="D2" s="12"/>
      <c r="E2" s="11"/>
      <c r="F2" s="11"/>
      <c r="G2" s="13"/>
      <c r="H2" s="11"/>
      <c r="I2" s="11"/>
      <c r="J2" s="14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1024" x14ac:dyDescent="0.2">
      <c r="A3" s="11">
        <f t="shared" ref="A3:A32" ca="1" si="0">RAND()</f>
        <v>0.58125853492457125</v>
      </c>
      <c r="B3" s="11"/>
      <c r="C3" s="10" t="s">
        <v>10</v>
      </c>
      <c r="D3" s="2">
        <v>1973</v>
      </c>
      <c r="E3" s="15" t="s">
        <v>11</v>
      </c>
      <c r="F3" s="15"/>
      <c r="G3" s="16">
        <v>2007</v>
      </c>
      <c r="H3" s="15" t="s">
        <v>12</v>
      </c>
      <c r="I3" s="15" t="s">
        <v>13</v>
      </c>
      <c r="J3" s="17">
        <v>1973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1024" x14ac:dyDescent="0.2">
      <c r="A4" s="11">
        <f t="shared" ca="1" si="0"/>
        <v>0.10614696061106055</v>
      </c>
      <c r="B4" s="11"/>
      <c r="C4" s="10" t="s">
        <v>14</v>
      </c>
      <c r="D4" s="18" t="s">
        <v>15</v>
      </c>
      <c r="E4" s="15" t="s">
        <v>16</v>
      </c>
      <c r="F4" s="15"/>
      <c r="G4" s="16">
        <v>2014</v>
      </c>
      <c r="H4" s="15" t="s">
        <v>12</v>
      </c>
      <c r="I4" s="15" t="s">
        <v>13</v>
      </c>
      <c r="J4" s="18" t="s">
        <v>15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1024" x14ac:dyDescent="0.2">
      <c r="A5" s="11">
        <f t="shared" ca="1" si="0"/>
        <v>0.45825663947046968</v>
      </c>
      <c r="B5" s="11"/>
      <c r="C5" s="10" t="s">
        <v>17</v>
      </c>
      <c r="D5" s="18" t="s">
        <v>18</v>
      </c>
      <c r="E5" s="15" t="s">
        <v>19</v>
      </c>
      <c r="F5" s="15"/>
      <c r="G5" s="16">
        <v>2003</v>
      </c>
      <c r="H5" s="15" t="s">
        <v>20</v>
      </c>
      <c r="I5" s="15"/>
      <c r="J5" s="18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1024" x14ac:dyDescent="0.2">
      <c r="A6" s="11">
        <f t="shared" ca="1" si="0"/>
        <v>0.9818509004871121</v>
      </c>
      <c r="B6" s="11"/>
      <c r="C6" s="10" t="s">
        <v>21</v>
      </c>
      <c r="D6" s="18" t="s">
        <v>22</v>
      </c>
      <c r="E6" s="15" t="s">
        <v>23</v>
      </c>
      <c r="F6" s="15"/>
      <c r="G6" s="19">
        <v>2002</v>
      </c>
      <c r="H6" s="15" t="s">
        <v>13</v>
      </c>
      <c r="I6" s="15"/>
      <c r="J6" s="18" t="s">
        <v>22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1024" s="22" customFormat="1" x14ac:dyDescent="0.2">
      <c r="A7" s="11">
        <f t="shared" ca="1" si="0"/>
        <v>0.4447779734318642</v>
      </c>
      <c r="B7" s="21" t="s">
        <v>1</v>
      </c>
      <c r="C7" s="15" t="s">
        <v>30</v>
      </c>
      <c r="D7" s="18" t="s">
        <v>31</v>
      </c>
      <c r="E7" s="15" t="s">
        <v>32</v>
      </c>
      <c r="F7" s="15"/>
      <c r="G7" s="19">
        <v>2002</v>
      </c>
      <c r="H7" s="15" t="s">
        <v>12</v>
      </c>
      <c r="I7" s="15" t="s">
        <v>33</v>
      </c>
      <c r="J7" s="18" t="s">
        <v>31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MI7"/>
      <c r="AMJ7"/>
    </row>
    <row r="8" spans="1:1024" s="1" customFormat="1" x14ac:dyDescent="0.2">
      <c r="A8" s="11">
        <f t="shared" ca="1" si="0"/>
        <v>0.6901647855703047</v>
      </c>
      <c r="B8" s="11"/>
      <c r="C8" s="10" t="s">
        <v>34</v>
      </c>
      <c r="D8" s="20" t="s">
        <v>35</v>
      </c>
      <c r="E8" s="10" t="s">
        <v>36</v>
      </c>
      <c r="F8" s="10"/>
      <c r="G8" s="19">
        <v>2005</v>
      </c>
      <c r="H8" s="10" t="s">
        <v>12</v>
      </c>
      <c r="I8" s="10" t="s">
        <v>13</v>
      </c>
      <c r="J8" s="20" t="s">
        <v>35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1024" s="1" customFormat="1" x14ac:dyDescent="0.2">
      <c r="A9" s="11">
        <f t="shared" ca="1" si="0"/>
        <v>0.86322065357792543</v>
      </c>
      <c r="B9" s="11"/>
      <c r="C9" s="10" t="s">
        <v>37</v>
      </c>
      <c r="D9" s="20" t="s">
        <v>38</v>
      </c>
      <c r="E9" s="10" t="s">
        <v>39</v>
      </c>
      <c r="F9" s="10"/>
      <c r="G9" s="19">
        <v>1958</v>
      </c>
      <c r="H9" s="10" t="s">
        <v>40</v>
      </c>
      <c r="I9" s="10"/>
      <c r="J9" s="20" t="s">
        <v>38</v>
      </c>
    </row>
    <row r="10" spans="1:1024" s="10" customFormat="1" x14ac:dyDescent="0.2">
      <c r="A10" s="11">
        <f t="shared" ca="1" si="0"/>
        <v>0.72426756608604359</v>
      </c>
      <c r="B10" s="24"/>
      <c r="C10" s="22"/>
      <c r="D10" s="25" t="s">
        <v>41</v>
      </c>
      <c r="E10" s="22" t="s">
        <v>42</v>
      </c>
      <c r="F10" s="22"/>
      <c r="G10" s="26">
        <v>2013</v>
      </c>
      <c r="H10" s="22" t="s">
        <v>13</v>
      </c>
      <c r="I10" s="22" t="s">
        <v>43</v>
      </c>
      <c r="J10" s="25" t="s">
        <v>41</v>
      </c>
    </row>
    <row r="11" spans="1:1024" s="10" customFormat="1" x14ac:dyDescent="0.2">
      <c r="A11" s="11">
        <f t="shared" ca="1" si="0"/>
        <v>0.63620216044150124</v>
      </c>
      <c r="B11" s="11"/>
      <c r="C11" s="10" t="s">
        <v>14</v>
      </c>
      <c r="D11" s="20" t="s">
        <v>44</v>
      </c>
      <c r="E11" s="10" t="s">
        <v>45</v>
      </c>
      <c r="G11" s="19">
        <v>1999</v>
      </c>
      <c r="H11" s="10" t="s">
        <v>12</v>
      </c>
      <c r="I11" s="10" t="s">
        <v>29</v>
      </c>
      <c r="J11" s="20" t="s">
        <v>44</v>
      </c>
    </row>
    <row r="12" spans="1:1024" s="10" customFormat="1" x14ac:dyDescent="0.2">
      <c r="A12" s="11">
        <f t="shared" ca="1" si="0"/>
        <v>0.53939548495401168</v>
      </c>
      <c r="B12" s="11"/>
      <c r="C12" s="10" t="s">
        <v>46</v>
      </c>
      <c r="D12" s="20" t="s">
        <v>47</v>
      </c>
      <c r="E12" s="10" t="s">
        <v>48</v>
      </c>
      <c r="F12" s="1"/>
      <c r="G12" s="19">
        <v>1981</v>
      </c>
      <c r="H12" s="10" t="s">
        <v>49</v>
      </c>
      <c r="J12" s="20" t="s">
        <v>47</v>
      </c>
    </row>
    <row r="13" spans="1:1024" s="10" customFormat="1" x14ac:dyDescent="0.2">
      <c r="A13" s="11">
        <f t="shared" ca="1" si="0"/>
        <v>0.48874262169990967</v>
      </c>
      <c r="B13" s="11"/>
      <c r="D13" s="20" t="s">
        <v>50</v>
      </c>
      <c r="E13" s="10" t="s">
        <v>19</v>
      </c>
      <c r="G13" s="19">
        <v>1997</v>
      </c>
      <c r="H13" s="10" t="s">
        <v>12</v>
      </c>
      <c r="I13" s="10" t="s">
        <v>51</v>
      </c>
      <c r="J13" s="20" t="s">
        <v>50</v>
      </c>
    </row>
    <row r="14" spans="1:1024" s="10" customFormat="1" x14ac:dyDescent="0.2">
      <c r="A14" s="11">
        <f t="shared" ca="1" si="0"/>
        <v>0.25430002731656842</v>
      </c>
      <c r="B14" s="11"/>
      <c r="C14" s="10" t="s">
        <v>37</v>
      </c>
      <c r="D14" s="20" t="s">
        <v>52</v>
      </c>
      <c r="E14" s="10" t="s">
        <v>53</v>
      </c>
      <c r="G14" s="19">
        <v>1974</v>
      </c>
      <c r="H14" s="10" t="s">
        <v>12</v>
      </c>
      <c r="I14" s="10" t="s">
        <v>54</v>
      </c>
      <c r="J14" s="20" t="s">
        <v>52</v>
      </c>
    </row>
    <row r="15" spans="1:1024" s="1" customFormat="1" x14ac:dyDescent="0.2">
      <c r="A15" s="11">
        <f t="shared" ca="1" si="0"/>
        <v>4.7026725209260767E-2</v>
      </c>
      <c r="B15" s="11" t="s">
        <v>1</v>
      </c>
      <c r="C15" s="10" t="s">
        <v>71</v>
      </c>
      <c r="D15" s="20" t="s">
        <v>72</v>
      </c>
      <c r="E15" s="10" t="s">
        <v>73</v>
      </c>
      <c r="F15" s="10"/>
      <c r="G15" s="19">
        <v>1998</v>
      </c>
      <c r="H15" s="10" t="s">
        <v>13</v>
      </c>
      <c r="I15" s="10"/>
      <c r="J15" s="2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1024" s="1" customFormat="1" x14ac:dyDescent="0.2">
      <c r="A16" s="11">
        <f t="shared" ca="1" si="0"/>
        <v>0.14167386237102397</v>
      </c>
      <c r="B16" s="11"/>
      <c r="C16" s="10" t="s">
        <v>10</v>
      </c>
      <c r="D16" s="20" t="s">
        <v>85</v>
      </c>
      <c r="E16" s="10" t="s">
        <v>86</v>
      </c>
      <c r="F16" s="10"/>
      <c r="G16" s="19">
        <v>2011</v>
      </c>
      <c r="H16" s="10" t="s">
        <v>87</v>
      </c>
      <c r="I16" s="10" t="s">
        <v>88</v>
      </c>
      <c r="J16" s="20" t="s">
        <v>85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s="1" customFormat="1" x14ac:dyDescent="0.2">
      <c r="A17" s="11">
        <f t="shared" ca="1" si="0"/>
        <v>0.63873656004422907</v>
      </c>
      <c r="B17" s="11"/>
      <c r="C17" s="10" t="s">
        <v>46</v>
      </c>
      <c r="D17" s="20" t="s">
        <v>89</v>
      </c>
      <c r="E17" s="15" t="s">
        <v>90</v>
      </c>
      <c r="F17" s="10"/>
      <c r="G17" s="19">
        <v>1968</v>
      </c>
      <c r="H17" s="10" t="s">
        <v>63</v>
      </c>
      <c r="I17" s="10"/>
      <c r="J17" s="20" t="s">
        <v>89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s="1" customFormat="1" x14ac:dyDescent="0.2">
      <c r="A18" s="11">
        <f t="shared" ca="1" si="0"/>
        <v>0.89719328533554654</v>
      </c>
      <c r="B18" s="11"/>
      <c r="C18" s="10" t="s">
        <v>37</v>
      </c>
      <c r="D18" s="30" t="s">
        <v>91</v>
      </c>
      <c r="E18" s="10" t="s">
        <v>92</v>
      </c>
      <c r="F18" s="10"/>
      <c r="G18" s="19">
        <v>1962</v>
      </c>
      <c r="H18" s="10" t="s">
        <v>63</v>
      </c>
      <c r="I18" s="10"/>
      <c r="J18" s="2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s="1" customFormat="1" x14ac:dyDescent="0.2">
      <c r="A19" s="11">
        <f t="shared" ca="1" si="0"/>
        <v>0.95854731540395099</v>
      </c>
      <c r="B19" s="11"/>
      <c r="C19" s="10" t="s">
        <v>37</v>
      </c>
      <c r="D19" s="20" t="s">
        <v>98</v>
      </c>
      <c r="E19" s="10" t="s">
        <v>99</v>
      </c>
      <c r="F19" s="10"/>
      <c r="G19" s="19">
        <v>1995</v>
      </c>
      <c r="H19" s="10" t="s">
        <v>12</v>
      </c>
      <c r="I19" s="10" t="s">
        <v>29</v>
      </c>
      <c r="J19" s="20" t="s">
        <v>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s="1" customFormat="1" x14ac:dyDescent="0.2">
      <c r="A20" s="11">
        <f t="shared" ca="1" si="0"/>
        <v>0.25786771649704632</v>
      </c>
      <c r="B20" s="31"/>
      <c r="C20" s="1" t="s">
        <v>46</v>
      </c>
      <c r="D20" s="20" t="s">
        <v>100</v>
      </c>
      <c r="E20" s="1" t="s">
        <v>101</v>
      </c>
      <c r="G20" s="3">
        <v>1967</v>
      </c>
      <c r="H20" s="1" t="s">
        <v>12</v>
      </c>
      <c r="J20" s="4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s="1" customFormat="1" ht="13.5" x14ac:dyDescent="0.2">
      <c r="A21" s="11">
        <f t="shared" ca="1" si="0"/>
        <v>0.97569984486747785</v>
      </c>
      <c r="B21" s="11"/>
      <c r="C21" s="10" t="s">
        <v>14</v>
      </c>
      <c r="D21" s="20" t="s">
        <v>102</v>
      </c>
      <c r="E21" s="10" t="s">
        <v>103</v>
      </c>
      <c r="F21" s="10"/>
      <c r="G21" s="19">
        <v>2013</v>
      </c>
      <c r="H21" s="10" t="s">
        <v>12</v>
      </c>
      <c r="I21" s="10" t="s">
        <v>63</v>
      </c>
      <c r="J21" s="27"/>
      <c r="K21" s="10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s="1" customFormat="1" x14ac:dyDescent="0.2">
      <c r="A22" s="11">
        <f t="shared" ca="1" si="0"/>
        <v>0.75749021917118786</v>
      </c>
      <c r="B22" s="11"/>
      <c r="C22" s="10" t="s">
        <v>37</v>
      </c>
      <c r="D22" s="20" t="s">
        <v>108</v>
      </c>
      <c r="E22" s="10" t="s">
        <v>39</v>
      </c>
      <c r="F22" s="10"/>
      <c r="G22" s="19">
        <v>1957</v>
      </c>
      <c r="H22" s="10" t="s">
        <v>49</v>
      </c>
      <c r="I22" s="10" t="s">
        <v>12</v>
      </c>
      <c r="J22" s="20" t="s">
        <v>108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s="1" customFormat="1" ht="13.5" x14ac:dyDescent="0.2">
      <c r="A23" s="11">
        <f t="shared" ca="1" si="0"/>
        <v>0.23643874038122148</v>
      </c>
      <c r="B23" s="11"/>
      <c r="C23" s="10" t="s">
        <v>37</v>
      </c>
      <c r="D23" s="20" t="s">
        <v>111</v>
      </c>
      <c r="E23" s="10" t="s">
        <v>104</v>
      </c>
      <c r="F23" s="10"/>
      <c r="G23" s="19">
        <v>1961</v>
      </c>
      <c r="H23" s="10" t="s">
        <v>12</v>
      </c>
      <c r="I23" s="10" t="s">
        <v>33</v>
      </c>
      <c r="J23" s="27"/>
      <c r="K23" s="10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s="10" customFormat="1" x14ac:dyDescent="0.2">
      <c r="A24" s="11">
        <f t="shared" ca="1" si="0"/>
        <v>0.90598263945153434</v>
      </c>
      <c r="B24" s="11"/>
      <c r="D24" s="20" t="s">
        <v>114</v>
      </c>
      <c r="E24" s="10" t="s">
        <v>11</v>
      </c>
      <c r="G24" s="19">
        <v>2008</v>
      </c>
      <c r="H24" s="10" t="s">
        <v>12</v>
      </c>
      <c r="I24" s="10" t="s">
        <v>63</v>
      </c>
      <c r="J24" s="20" t="s">
        <v>114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s="10" customFormat="1" x14ac:dyDescent="0.2">
      <c r="A25" s="11">
        <f t="shared" ca="1" si="0"/>
        <v>0.91251056741473668</v>
      </c>
      <c r="B25" s="11"/>
      <c r="C25" s="10" t="s">
        <v>14</v>
      </c>
      <c r="D25" s="20" t="s">
        <v>119</v>
      </c>
      <c r="E25" s="10" t="s">
        <v>120</v>
      </c>
      <c r="G25" s="19">
        <v>1998</v>
      </c>
      <c r="H25" s="10" t="s">
        <v>12</v>
      </c>
      <c r="J25" s="20" t="s">
        <v>119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s="10" customFormat="1" x14ac:dyDescent="0.2">
      <c r="A26" s="11">
        <f t="shared" ca="1" si="0"/>
        <v>0.90258349893936041</v>
      </c>
      <c r="B26" s="21"/>
      <c r="C26" s="15"/>
      <c r="D26" s="18" t="s">
        <v>121</v>
      </c>
      <c r="E26" s="15" t="s">
        <v>122</v>
      </c>
      <c r="F26" s="15"/>
      <c r="G26" s="16">
        <v>1999</v>
      </c>
      <c r="H26" s="15" t="s">
        <v>13</v>
      </c>
      <c r="I26" s="15"/>
      <c r="J26" s="18" t="s">
        <v>121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s="1" customFormat="1" ht="13.5" x14ac:dyDescent="0.2">
      <c r="A27" s="11">
        <f t="shared" ca="1" si="0"/>
        <v>7.5947448372518434E-2</v>
      </c>
      <c r="B27" s="11"/>
      <c r="C27" s="10"/>
      <c r="D27" s="20" t="s">
        <v>125</v>
      </c>
      <c r="E27" s="10" t="s">
        <v>126</v>
      </c>
      <c r="F27" s="10"/>
      <c r="G27" s="19">
        <v>2010</v>
      </c>
      <c r="H27" s="10" t="s">
        <v>13</v>
      </c>
      <c r="I27" s="10"/>
      <c r="J27" s="27"/>
      <c r="K27" s="15"/>
    </row>
    <row r="28" spans="1:29" s="1" customFormat="1" ht="13.5" x14ac:dyDescent="0.2">
      <c r="A28" s="11">
        <f t="shared" ca="1" si="0"/>
        <v>0.76574598083978573</v>
      </c>
      <c r="B28" s="11"/>
      <c r="C28" s="10"/>
      <c r="D28" s="20" t="s">
        <v>128</v>
      </c>
      <c r="E28" s="10" t="s">
        <v>53</v>
      </c>
      <c r="F28" s="10"/>
      <c r="G28" s="19">
        <v>1971</v>
      </c>
      <c r="H28" s="10" t="s">
        <v>49</v>
      </c>
      <c r="I28" s="10"/>
      <c r="J28" s="27"/>
      <c r="K28" s="15"/>
    </row>
    <row r="29" spans="1:29" s="1" customFormat="1" x14ac:dyDescent="0.2">
      <c r="A29" s="11">
        <f t="shared" ca="1" si="0"/>
        <v>0.71377286181103738</v>
      </c>
      <c r="B29" s="21"/>
      <c r="C29" s="15" t="s">
        <v>55</v>
      </c>
      <c r="D29" s="18" t="s">
        <v>129</v>
      </c>
      <c r="E29" s="15" t="s">
        <v>130</v>
      </c>
      <c r="F29" s="15"/>
      <c r="G29" s="16">
        <v>2006</v>
      </c>
      <c r="H29" s="15" t="s">
        <v>76</v>
      </c>
      <c r="I29" s="15"/>
      <c r="J29" s="18" t="s">
        <v>129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s="1" customFormat="1" x14ac:dyDescent="0.2">
      <c r="A30" s="11">
        <f t="shared" ca="1" si="0"/>
        <v>0.90758170610493605</v>
      </c>
      <c r="B30" s="11"/>
      <c r="C30" s="10" t="s">
        <v>37</v>
      </c>
      <c r="D30" s="20" t="s">
        <v>131</v>
      </c>
      <c r="E30" s="10" t="s">
        <v>132</v>
      </c>
      <c r="F30" s="10"/>
      <c r="G30" s="19">
        <v>1979</v>
      </c>
      <c r="H30" s="10" t="s">
        <v>12</v>
      </c>
      <c r="I30" s="10"/>
      <c r="J30" s="20" t="s">
        <v>131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s="1" customFormat="1" x14ac:dyDescent="0.2">
      <c r="A31" s="11">
        <f t="shared" ca="1" si="0"/>
        <v>0.25475241896031708</v>
      </c>
      <c r="B31" s="11" t="s">
        <v>1</v>
      </c>
      <c r="C31" s="29"/>
      <c r="D31" s="20" t="s">
        <v>133</v>
      </c>
      <c r="E31" s="10" t="s">
        <v>134</v>
      </c>
      <c r="F31" s="10"/>
      <c r="G31" s="19">
        <v>2011</v>
      </c>
      <c r="H31" s="10" t="s">
        <v>13</v>
      </c>
      <c r="I31" s="10"/>
      <c r="J31" s="20" t="s">
        <v>133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s="1" customFormat="1" x14ac:dyDescent="0.2">
      <c r="A32" s="11">
        <f t="shared" ca="1" si="0"/>
        <v>0.25626997224649561</v>
      </c>
      <c r="B32" s="11"/>
      <c r="C32" s="10"/>
      <c r="D32" s="20" t="s">
        <v>135</v>
      </c>
      <c r="E32" s="10" t="s">
        <v>136</v>
      </c>
      <c r="F32" s="10"/>
      <c r="G32" s="19">
        <v>1999</v>
      </c>
      <c r="H32" s="10" t="s">
        <v>13</v>
      </c>
      <c r="I32" s="10"/>
      <c r="J32" s="20" t="s">
        <v>135</v>
      </c>
      <c r="K32" s="10"/>
    </row>
    <row r="33" spans="1:29" s="1" customFormat="1" x14ac:dyDescent="0.2">
      <c r="A33" s="11"/>
      <c r="B33" s="11"/>
      <c r="C33" s="10"/>
      <c r="D33" s="20" t="s">
        <v>139</v>
      </c>
      <c r="E33" s="10" t="s">
        <v>140</v>
      </c>
      <c r="F33" s="10"/>
      <c r="G33" s="19">
        <v>2004</v>
      </c>
      <c r="H33" s="10" t="s">
        <v>12</v>
      </c>
      <c r="I33" s="10" t="s">
        <v>141</v>
      </c>
      <c r="J33" s="20" t="s">
        <v>139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s="1" customFormat="1" x14ac:dyDescent="0.2">
      <c r="A34" s="11">
        <f ca="1">RAND()</f>
        <v>0.51333564610503191</v>
      </c>
      <c r="B34" s="11"/>
      <c r="C34" s="10" t="s">
        <v>46</v>
      </c>
      <c r="D34" s="20" t="s">
        <v>142</v>
      </c>
      <c r="E34" s="10" t="s">
        <v>143</v>
      </c>
      <c r="F34" s="10"/>
      <c r="G34" s="19">
        <v>2007</v>
      </c>
      <c r="H34" s="10" t="s">
        <v>63</v>
      </c>
      <c r="I34" s="10" t="s">
        <v>12</v>
      </c>
      <c r="J34" s="20" t="s">
        <v>142</v>
      </c>
      <c r="K34" s="10"/>
    </row>
    <row r="35" spans="1:29" s="1" customFormat="1" x14ac:dyDescent="0.2">
      <c r="A35" s="11">
        <f ca="1">RAND()</f>
        <v>0.43458533290463752</v>
      </c>
      <c r="B35" s="11" t="s">
        <v>1</v>
      </c>
      <c r="C35" s="10" t="s">
        <v>145</v>
      </c>
      <c r="D35" s="20" t="s">
        <v>146</v>
      </c>
      <c r="E35" s="10" t="s">
        <v>147</v>
      </c>
      <c r="F35" s="10"/>
      <c r="G35" s="19">
        <v>1977</v>
      </c>
      <c r="H35" s="10" t="s">
        <v>59</v>
      </c>
      <c r="I35" s="10" t="s">
        <v>49</v>
      </c>
      <c r="J35" s="20" t="s">
        <v>146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s="1" customFormat="1" x14ac:dyDescent="0.2">
      <c r="A36" s="11">
        <f ca="1">RAND()</f>
        <v>7.3103616438879748E-2</v>
      </c>
      <c r="B36" s="11" t="s">
        <v>1</v>
      </c>
      <c r="C36" s="10" t="s">
        <v>148</v>
      </c>
      <c r="D36" s="20" t="s">
        <v>149</v>
      </c>
      <c r="E36" s="10" t="s">
        <v>124</v>
      </c>
      <c r="F36" s="10" t="s">
        <v>150</v>
      </c>
      <c r="G36" s="19">
        <v>2002</v>
      </c>
      <c r="H36" s="10" t="s">
        <v>13</v>
      </c>
      <c r="I36" s="10" t="s">
        <v>59</v>
      </c>
      <c r="J36" s="20" t="s">
        <v>149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s="1" customFormat="1" ht="13.5" x14ac:dyDescent="0.2">
      <c r="A37" s="11"/>
      <c r="B37" s="11"/>
      <c r="C37" s="10"/>
      <c r="D37" s="20" t="s">
        <v>152</v>
      </c>
      <c r="E37" s="10" t="s">
        <v>153</v>
      </c>
      <c r="F37" s="10"/>
      <c r="G37" s="19">
        <v>1995</v>
      </c>
      <c r="H37" s="10" t="s">
        <v>13</v>
      </c>
      <c r="I37" s="10" t="s">
        <v>154</v>
      </c>
      <c r="J37" s="27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s="10" customFormat="1" x14ac:dyDescent="0.2">
      <c r="A38" s="11">
        <f t="shared" ref="A38:A69" ca="1" si="1">RAND()</f>
        <v>0.41517025146503783</v>
      </c>
      <c r="B38" s="11"/>
      <c r="D38" s="20" t="s">
        <v>159</v>
      </c>
      <c r="E38" s="10" t="s">
        <v>65</v>
      </c>
      <c r="F38" s="10" t="s">
        <v>160</v>
      </c>
      <c r="G38" s="19">
        <v>2002</v>
      </c>
      <c r="H38" s="10" t="s">
        <v>59</v>
      </c>
      <c r="J38" s="20" t="s">
        <v>159</v>
      </c>
    </row>
    <row r="39" spans="1:29" s="1" customFormat="1" x14ac:dyDescent="0.2">
      <c r="A39" s="11">
        <f t="shared" ca="1" si="1"/>
        <v>0.19578556523130131</v>
      </c>
      <c r="B39" s="11"/>
      <c r="C39" s="10"/>
      <c r="D39" s="20" t="s">
        <v>166</v>
      </c>
      <c r="E39" s="10" t="s">
        <v>167</v>
      </c>
      <c r="F39" s="10" t="s">
        <v>168</v>
      </c>
      <c r="G39" s="19">
        <v>1954</v>
      </c>
      <c r="H39" s="10"/>
      <c r="I39" s="10"/>
      <c r="J39" s="20" t="s">
        <v>166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s="29" customFormat="1" x14ac:dyDescent="0.2">
      <c r="A40" s="11">
        <f t="shared" ca="1" si="1"/>
        <v>0.18277667095558248</v>
      </c>
      <c r="B40" s="11"/>
      <c r="C40" s="10" t="s">
        <v>46</v>
      </c>
      <c r="D40" s="20" t="s">
        <v>169</v>
      </c>
      <c r="E40" s="15" t="s">
        <v>90</v>
      </c>
      <c r="F40" s="10"/>
      <c r="G40" s="19">
        <v>1964</v>
      </c>
      <c r="H40" s="10" t="s">
        <v>12</v>
      </c>
      <c r="I40" s="10"/>
      <c r="J40" s="20" t="s">
        <v>169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9" s="1" customFormat="1" x14ac:dyDescent="0.2">
      <c r="A41" s="11">
        <f t="shared" ca="1" si="1"/>
        <v>0.81710830401803036</v>
      </c>
      <c r="B41" s="11"/>
      <c r="C41" s="10" t="s">
        <v>14</v>
      </c>
      <c r="D41" s="20" t="s">
        <v>171</v>
      </c>
      <c r="E41" s="10" t="s">
        <v>172</v>
      </c>
      <c r="F41" s="10"/>
      <c r="G41" s="19">
        <v>1979</v>
      </c>
      <c r="H41" s="10" t="s">
        <v>12</v>
      </c>
      <c r="I41" s="10"/>
      <c r="J41" s="20" t="s">
        <v>171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s="1" customFormat="1" x14ac:dyDescent="0.2">
      <c r="A42" s="11">
        <f t="shared" ca="1" si="1"/>
        <v>0.51258669463437301</v>
      </c>
      <c r="B42" s="11"/>
      <c r="C42" s="10" t="s">
        <v>14</v>
      </c>
      <c r="D42" s="18" t="s">
        <v>173</v>
      </c>
      <c r="E42" s="15" t="s">
        <v>16</v>
      </c>
      <c r="F42" s="15" t="s">
        <v>174</v>
      </c>
      <c r="G42" s="16">
        <v>1981</v>
      </c>
      <c r="H42" s="15" t="s">
        <v>13</v>
      </c>
      <c r="I42" s="15"/>
      <c r="J42" s="18" t="s">
        <v>173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s="1" customFormat="1" x14ac:dyDescent="0.2">
      <c r="A43" s="11">
        <f t="shared" ca="1" si="1"/>
        <v>0.95445732799596938</v>
      </c>
      <c r="B43" s="11" t="s">
        <v>1</v>
      </c>
      <c r="C43" s="10" t="s">
        <v>37</v>
      </c>
      <c r="D43" s="20" t="s">
        <v>175</v>
      </c>
      <c r="E43" s="10" t="s">
        <v>176</v>
      </c>
      <c r="F43" s="10"/>
      <c r="G43" s="19">
        <v>2006</v>
      </c>
      <c r="H43" s="10" t="s">
        <v>13</v>
      </c>
      <c r="I43" s="10"/>
      <c r="J43" s="20" t="s">
        <v>175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s="1" customFormat="1" x14ac:dyDescent="0.2">
      <c r="A44" s="11">
        <f t="shared" ca="1" si="1"/>
        <v>0.50360494701800251</v>
      </c>
      <c r="B44" s="11"/>
      <c r="C44" s="10" t="s">
        <v>14</v>
      </c>
      <c r="D44" s="18" t="s">
        <v>177</v>
      </c>
      <c r="E44" s="15" t="s">
        <v>178</v>
      </c>
      <c r="F44" s="15"/>
      <c r="G44" s="16">
        <v>1972</v>
      </c>
      <c r="H44" s="15" t="s">
        <v>12</v>
      </c>
      <c r="I44" s="15" t="s">
        <v>33</v>
      </c>
      <c r="J44" s="18" t="s">
        <v>177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s="1" customFormat="1" x14ac:dyDescent="0.2">
      <c r="A45" s="11">
        <f t="shared" ca="1" si="1"/>
        <v>0.84033744421607148</v>
      </c>
      <c r="B45" s="11"/>
      <c r="C45" s="10" t="s">
        <v>46</v>
      </c>
      <c r="D45" s="20" t="s">
        <v>179</v>
      </c>
      <c r="E45" s="10" t="s">
        <v>113</v>
      </c>
      <c r="F45" s="10"/>
      <c r="G45" s="19">
        <v>1987</v>
      </c>
      <c r="H45" s="10" t="s">
        <v>12</v>
      </c>
      <c r="I45" s="10" t="s">
        <v>13</v>
      </c>
      <c r="J45" s="20" t="s">
        <v>179</v>
      </c>
      <c r="K45" s="10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s="1" customFormat="1" x14ac:dyDescent="0.2">
      <c r="A46" s="11">
        <f t="shared" ca="1" si="1"/>
        <v>0.32459811354999613</v>
      </c>
      <c r="B46" s="11"/>
      <c r="C46" s="10"/>
      <c r="D46" s="20" t="s">
        <v>180</v>
      </c>
      <c r="E46" s="10" t="s">
        <v>65</v>
      </c>
      <c r="F46" s="10"/>
      <c r="G46" s="19">
        <v>2002</v>
      </c>
      <c r="H46" s="1" t="s">
        <v>63</v>
      </c>
      <c r="J46" s="20" t="s">
        <v>180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s="1" customFormat="1" x14ac:dyDescent="0.2">
      <c r="A47" s="11">
        <f t="shared" ca="1" si="1"/>
        <v>0.60958514322232016</v>
      </c>
      <c r="B47" s="11" t="s">
        <v>1</v>
      </c>
      <c r="C47" s="10"/>
      <c r="D47" s="20" t="s">
        <v>183</v>
      </c>
      <c r="E47" s="10" t="s">
        <v>184</v>
      </c>
      <c r="F47" s="10"/>
      <c r="G47" s="19">
        <v>2009</v>
      </c>
      <c r="H47" s="10" t="s">
        <v>13</v>
      </c>
      <c r="I47" s="10" t="s">
        <v>185</v>
      </c>
      <c r="J47" s="20" t="s">
        <v>183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spans="1:29" s="1" customFormat="1" x14ac:dyDescent="0.2">
      <c r="A48" s="11">
        <f t="shared" ca="1" si="1"/>
        <v>0.28869049601063246</v>
      </c>
      <c r="B48" s="21"/>
      <c r="C48" s="15"/>
      <c r="D48" s="18" t="s">
        <v>186</v>
      </c>
      <c r="E48" s="15" t="s">
        <v>187</v>
      </c>
      <c r="F48" s="15"/>
      <c r="G48" s="16">
        <v>2005</v>
      </c>
      <c r="H48" s="15" t="s">
        <v>63</v>
      </c>
      <c r="I48" s="15" t="s">
        <v>43</v>
      </c>
      <c r="J48" s="18" t="s">
        <v>186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spans="1:29" s="1" customFormat="1" x14ac:dyDescent="0.2">
      <c r="A49" s="11">
        <f t="shared" ca="1" si="1"/>
        <v>0.51965415221803479</v>
      </c>
      <c r="B49" s="21"/>
      <c r="C49" s="15"/>
      <c r="D49" s="18" t="s">
        <v>188</v>
      </c>
      <c r="E49" s="15" t="s">
        <v>189</v>
      </c>
      <c r="F49" s="15"/>
      <c r="G49" s="16">
        <v>1962</v>
      </c>
      <c r="H49" s="15" t="s">
        <v>63</v>
      </c>
      <c r="I49" s="15" t="s">
        <v>49</v>
      </c>
      <c r="J49" s="18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1:29" s="1" customFormat="1" x14ac:dyDescent="0.2">
      <c r="A50" s="11">
        <f t="shared" ca="1" si="1"/>
        <v>0.83174367700005358</v>
      </c>
      <c r="B50" s="21"/>
      <c r="C50" s="15"/>
      <c r="D50" s="18" t="s">
        <v>190</v>
      </c>
      <c r="E50" s="15" t="s">
        <v>28</v>
      </c>
      <c r="F50" s="15"/>
      <c r="G50" s="16">
        <v>2005</v>
      </c>
      <c r="H50" s="15" t="s">
        <v>12</v>
      </c>
      <c r="I50" s="15" t="s">
        <v>29</v>
      </c>
      <c r="J50" s="18" t="s">
        <v>190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1:29" s="1" customFormat="1" x14ac:dyDescent="0.2">
      <c r="A51" s="11">
        <f t="shared" ca="1" si="1"/>
        <v>0.41525784065273985</v>
      </c>
      <c r="B51" s="11"/>
      <c r="C51" s="10" t="s">
        <v>77</v>
      </c>
      <c r="D51" s="20" t="s">
        <v>193</v>
      </c>
      <c r="E51" s="10" t="s">
        <v>194</v>
      </c>
      <c r="F51" s="10" t="s">
        <v>195</v>
      </c>
      <c r="G51" s="19">
        <v>1954</v>
      </c>
      <c r="H51" s="10" t="s">
        <v>13</v>
      </c>
      <c r="I51" s="10" t="s">
        <v>196</v>
      </c>
      <c r="J51" s="20" t="s">
        <v>193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spans="1:29" s="1" customFormat="1" x14ac:dyDescent="0.2">
      <c r="A52" s="11">
        <f t="shared" ca="1" si="1"/>
        <v>0.71075312105090271</v>
      </c>
      <c r="B52" s="11"/>
      <c r="C52" s="10"/>
      <c r="D52" s="18" t="s">
        <v>198</v>
      </c>
      <c r="E52" s="15" t="s">
        <v>140</v>
      </c>
      <c r="F52" s="15" t="s">
        <v>199</v>
      </c>
      <c r="G52" s="16">
        <v>1989</v>
      </c>
      <c r="H52" s="15" t="s">
        <v>12</v>
      </c>
      <c r="I52" s="15" t="s">
        <v>200</v>
      </c>
      <c r="J52" s="18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s="1" customFormat="1" x14ac:dyDescent="0.2">
      <c r="A53" s="11">
        <f t="shared" ca="1" si="1"/>
        <v>0.72852612768835179</v>
      </c>
      <c r="B53" s="21" t="s">
        <v>1</v>
      </c>
      <c r="C53" s="15" t="s">
        <v>17</v>
      </c>
      <c r="D53" s="18" t="s">
        <v>205</v>
      </c>
      <c r="E53" s="15" t="s">
        <v>206</v>
      </c>
      <c r="F53" s="15"/>
      <c r="G53" s="16">
        <v>2010</v>
      </c>
      <c r="H53" s="15" t="s">
        <v>118</v>
      </c>
      <c r="I53" s="15"/>
      <c r="J53" s="18" t="s">
        <v>205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s="1" customFormat="1" x14ac:dyDescent="0.2">
      <c r="A54" s="11">
        <f t="shared" ca="1" si="1"/>
        <v>0.12810557273525214</v>
      </c>
      <c r="B54" s="11" t="s">
        <v>1</v>
      </c>
      <c r="C54" s="10" t="s">
        <v>14</v>
      </c>
      <c r="D54" s="18" t="s">
        <v>210</v>
      </c>
      <c r="E54" s="15" t="s">
        <v>16</v>
      </c>
      <c r="F54" s="15"/>
      <c r="G54" s="16">
        <v>2014</v>
      </c>
      <c r="H54" s="15" t="s">
        <v>12</v>
      </c>
      <c r="I54" s="15" t="s">
        <v>63</v>
      </c>
      <c r="J54" s="18" t="s">
        <v>210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s="10" customFormat="1" x14ac:dyDescent="0.2">
      <c r="A55" s="11">
        <f t="shared" ca="1" si="1"/>
        <v>4.0137960715788346E-2</v>
      </c>
      <c r="B55" s="11"/>
      <c r="C55" s="10" t="s">
        <v>46</v>
      </c>
      <c r="D55" s="20" t="s">
        <v>212</v>
      </c>
      <c r="E55" s="10" t="s">
        <v>213</v>
      </c>
      <c r="G55" s="19">
        <v>2012</v>
      </c>
      <c r="H55" s="10" t="s">
        <v>63</v>
      </c>
      <c r="J55" s="20" t="s">
        <v>212</v>
      </c>
    </row>
    <row r="56" spans="1:29" s="10" customFormat="1" x14ac:dyDescent="0.2">
      <c r="A56" s="11">
        <f t="shared" ca="1" si="1"/>
        <v>0.97730634051718446</v>
      </c>
      <c r="B56" s="21" t="s">
        <v>1</v>
      </c>
      <c r="C56" s="15" t="s">
        <v>17</v>
      </c>
      <c r="D56" s="18" t="s">
        <v>214</v>
      </c>
      <c r="E56" s="15" t="s">
        <v>126</v>
      </c>
      <c r="F56" s="15"/>
      <c r="G56" s="16">
        <v>2010</v>
      </c>
      <c r="H56" s="15" t="s">
        <v>69</v>
      </c>
      <c r="I56" s="15" t="s">
        <v>13</v>
      </c>
      <c r="J56" s="18" t="s">
        <v>214</v>
      </c>
    </row>
    <row r="57" spans="1:29" s="1" customFormat="1" x14ac:dyDescent="0.2">
      <c r="A57" s="11">
        <f t="shared" ca="1" si="1"/>
        <v>0.73050808592843219</v>
      </c>
      <c r="B57" s="11"/>
      <c r="C57" s="10" t="s">
        <v>46</v>
      </c>
      <c r="D57" s="20" t="s">
        <v>215</v>
      </c>
      <c r="E57" s="10" t="s">
        <v>178</v>
      </c>
      <c r="F57" s="10"/>
      <c r="G57" s="19">
        <v>1972</v>
      </c>
      <c r="H57" s="10" t="s">
        <v>12</v>
      </c>
      <c r="I57" s="10"/>
      <c r="J57" s="20" t="s">
        <v>215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29" s="1" customFormat="1" x14ac:dyDescent="0.2">
      <c r="A58" s="11">
        <f t="shared" ca="1" si="1"/>
        <v>0.22952381822952317</v>
      </c>
      <c r="B58" s="11"/>
      <c r="C58" s="10"/>
      <c r="D58" s="20" t="s">
        <v>216</v>
      </c>
      <c r="E58" s="10" t="s">
        <v>217</v>
      </c>
      <c r="F58" s="10" t="s">
        <v>218</v>
      </c>
      <c r="G58" s="19">
        <v>1984</v>
      </c>
      <c r="H58" s="10" t="s">
        <v>12</v>
      </c>
      <c r="I58" s="10" t="s">
        <v>219</v>
      </c>
      <c r="J58" s="20" t="s">
        <v>216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spans="1:29" s="1" customFormat="1" x14ac:dyDescent="0.2">
      <c r="A59" s="11">
        <f t="shared" ca="1" si="1"/>
        <v>3.8656426168481972E-2</v>
      </c>
      <c r="B59" s="11"/>
      <c r="C59" s="10" t="s">
        <v>93</v>
      </c>
      <c r="D59" s="20" t="s">
        <v>222</v>
      </c>
      <c r="E59" s="10" t="s">
        <v>223</v>
      </c>
      <c r="F59" s="10"/>
      <c r="G59" s="19">
        <v>1971</v>
      </c>
      <c r="H59" s="10" t="s">
        <v>12</v>
      </c>
      <c r="I59" s="10" t="s">
        <v>224</v>
      </c>
      <c r="J59" s="20" t="s">
        <v>222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spans="1:29" s="1" customFormat="1" x14ac:dyDescent="0.2">
      <c r="A60" s="11">
        <f t="shared" ca="1" si="1"/>
        <v>0.32919748736633503</v>
      </c>
      <c r="B60" s="11"/>
      <c r="C60" s="10" t="s">
        <v>77</v>
      </c>
      <c r="D60" s="18" t="s">
        <v>230</v>
      </c>
      <c r="E60" s="10" t="s">
        <v>231</v>
      </c>
      <c r="F60" s="10"/>
      <c r="G60" s="19">
        <v>2002</v>
      </c>
      <c r="H60" s="10" t="s">
        <v>12</v>
      </c>
      <c r="I60" s="10"/>
      <c r="J60" s="18" t="s">
        <v>230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s="1" customFormat="1" x14ac:dyDescent="0.2">
      <c r="A61" s="11">
        <f t="shared" ca="1" si="1"/>
        <v>0.51615496128640515</v>
      </c>
      <c r="B61" s="11"/>
      <c r="C61" s="10" t="s">
        <v>37</v>
      </c>
      <c r="D61" s="20" t="s">
        <v>232</v>
      </c>
      <c r="E61" s="15" t="s">
        <v>90</v>
      </c>
      <c r="F61" s="10"/>
      <c r="G61" s="19">
        <v>1968</v>
      </c>
      <c r="H61" s="10" t="s">
        <v>12</v>
      </c>
      <c r="I61" s="10" t="s">
        <v>13</v>
      </c>
      <c r="J61" s="20" t="s">
        <v>232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s="1" customFormat="1" x14ac:dyDescent="0.2">
      <c r="A62" s="11">
        <f t="shared" ca="1" si="1"/>
        <v>0.155516260135246</v>
      </c>
      <c r="B62" s="11"/>
      <c r="C62" s="10" t="s">
        <v>37</v>
      </c>
      <c r="D62" s="20" t="s">
        <v>233</v>
      </c>
      <c r="E62" s="10" t="s">
        <v>234</v>
      </c>
      <c r="F62" s="10"/>
      <c r="G62" s="19">
        <v>2004</v>
      </c>
      <c r="H62" s="10" t="s">
        <v>13</v>
      </c>
      <c r="I62" s="10" t="s">
        <v>235</v>
      </c>
      <c r="J62" s="20" t="s">
        <v>233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s="1" customFormat="1" x14ac:dyDescent="0.2">
      <c r="A63" s="11">
        <f t="shared" ca="1" si="1"/>
        <v>0.48684760760455581</v>
      </c>
      <c r="B63" s="11"/>
      <c r="C63" s="10" t="s">
        <v>37</v>
      </c>
      <c r="D63" s="20" t="s">
        <v>236</v>
      </c>
      <c r="E63" s="10" t="s">
        <v>237</v>
      </c>
      <c r="F63" s="10"/>
      <c r="G63" s="19">
        <v>2002</v>
      </c>
      <c r="H63" s="10" t="s">
        <v>12</v>
      </c>
      <c r="I63" s="10" t="s">
        <v>238</v>
      </c>
      <c r="J63" s="20" t="s">
        <v>236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s="1" customFormat="1" x14ac:dyDescent="0.2">
      <c r="A64" s="11">
        <f t="shared" ca="1" si="1"/>
        <v>0.22456250561213564</v>
      </c>
      <c r="B64" s="11" t="s">
        <v>1</v>
      </c>
      <c r="C64" s="10" t="s">
        <v>77</v>
      </c>
      <c r="D64" s="20" t="s">
        <v>240</v>
      </c>
      <c r="E64" s="10" t="s">
        <v>241</v>
      </c>
      <c r="F64" s="10"/>
      <c r="G64" s="19">
        <v>1976</v>
      </c>
      <c r="H64" s="10" t="s">
        <v>12</v>
      </c>
      <c r="I64" s="10"/>
      <c r="J64" s="20" t="s">
        <v>240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spans="1:1024" s="1" customFormat="1" x14ac:dyDescent="0.2">
      <c r="A65" s="11">
        <f t="shared" ca="1" si="1"/>
        <v>0.32923836420257857</v>
      </c>
      <c r="B65" s="11"/>
      <c r="C65" s="10"/>
      <c r="D65" s="20" t="s">
        <v>242</v>
      </c>
      <c r="E65" s="10" t="s">
        <v>28</v>
      </c>
      <c r="F65" s="10"/>
      <c r="G65" s="19">
        <v>2015</v>
      </c>
      <c r="H65" s="10" t="s">
        <v>13</v>
      </c>
      <c r="I65" s="10" t="s">
        <v>29</v>
      </c>
      <c r="J65" s="20" t="s">
        <v>242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spans="1:1024" s="1" customFormat="1" x14ac:dyDescent="0.2">
      <c r="A66" s="11">
        <f t="shared" ca="1" si="1"/>
        <v>0.54163362850021535</v>
      </c>
      <c r="B66" s="11"/>
      <c r="C66" s="10" t="s">
        <v>37</v>
      </c>
      <c r="D66" s="30" t="s">
        <v>530</v>
      </c>
      <c r="E66" s="10" t="s">
        <v>90</v>
      </c>
      <c r="F66" s="10"/>
      <c r="G66" s="19">
        <v>1963</v>
      </c>
      <c r="H66" s="10" t="s">
        <v>12</v>
      </c>
      <c r="I66" s="10" t="s">
        <v>13</v>
      </c>
      <c r="J66" s="3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spans="1:1024" s="1" customFormat="1" x14ac:dyDescent="0.2">
      <c r="A67" s="11">
        <f t="shared" ca="1" si="1"/>
        <v>0.18452134655671359</v>
      </c>
      <c r="B67" s="11"/>
      <c r="C67" s="10" t="s">
        <v>37</v>
      </c>
      <c r="D67" s="20" t="s">
        <v>244</v>
      </c>
      <c r="E67" s="10" t="s">
        <v>167</v>
      </c>
      <c r="F67" s="10"/>
      <c r="G67" s="19">
        <v>2006</v>
      </c>
      <c r="H67" s="10" t="s">
        <v>12</v>
      </c>
      <c r="I67" s="10" t="s">
        <v>245</v>
      </c>
      <c r="J67" s="20" t="s">
        <v>244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spans="1:1024" s="1" customFormat="1" x14ac:dyDescent="0.2">
      <c r="A68" s="11">
        <f t="shared" ca="1" si="1"/>
        <v>0.21277763329595178</v>
      </c>
      <c r="B68" s="11"/>
      <c r="C68" s="10" t="s">
        <v>30</v>
      </c>
      <c r="D68" s="20" t="s">
        <v>250</v>
      </c>
      <c r="E68" s="10" t="s">
        <v>251</v>
      </c>
      <c r="F68" s="10"/>
      <c r="G68" s="19">
        <v>1995</v>
      </c>
      <c r="H68" s="10" t="s">
        <v>12</v>
      </c>
      <c r="I68" s="10" t="s">
        <v>252</v>
      </c>
      <c r="J68" s="20" t="s">
        <v>250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spans="1:1024" s="10" customFormat="1" x14ac:dyDescent="0.2">
      <c r="A69" s="11">
        <f t="shared" ca="1" si="1"/>
        <v>0.34459609179071748</v>
      </c>
      <c r="B69" s="21" t="s">
        <v>1</v>
      </c>
      <c r="C69" s="15" t="s">
        <v>46</v>
      </c>
      <c r="D69" s="18" t="s">
        <v>253</v>
      </c>
      <c r="E69" s="15" t="s">
        <v>254</v>
      </c>
      <c r="F69" s="15"/>
      <c r="G69" s="16">
        <v>1967</v>
      </c>
      <c r="H69" s="15" t="s">
        <v>13</v>
      </c>
      <c r="I69" s="15" t="s">
        <v>255</v>
      </c>
      <c r="J69" s="18" t="s">
        <v>253</v>
      </c>
    </row>
    <row r="70" spans="1:1024" s="10" customFormat="1" x14ac:dyDescent="0.2">
      <c r="A70" s="11">
        <f t="shared" ref="A70:A97" ca="1" si="2">RAND()</f>
        <v>0.82884617316643638</v>
      </c>
      <c r="B70" s="11"/>
      <c r="C70" s="10" t="s">
        <v>77</v>
      </c>
      <c r="D70" s="20" t="s">
        <v>269</v>
      </c>
      <c r="E70" s="10" t="s">
        <v>270</v>
      </c>
      <c r="G70" s="19">
        <v>1972</v>
      </c>
      <c r="H70" s="10" t="s">
        <v>63</v>
      </c>
      <c r="J70" s="20" t="s">
        <v>269</v>
      </c>
    </row>
    <row r="71" spans="1:1024" s="1" customFormat="1" x14ac:dyDescent="0.2">
      <c r="A71" s="11">
        <f t="shared" ca="1" si="2"/>
        <v>2.2031221512977206E-2</v>
      </c>
      <c r="B71" s="11" t="s">
        <v>1</v>
      </c>
      <c r="C71" s="10" t="s">
        <v>37</v>
      </c>
      <c r="D71" s="20" t="s">
        <v>271</v>
      </c>
      <c r="E71" s="10" t="s">
        <v>272</v>
      </c>
      <c r="F71" s="10"/>
      <c r="G71" s="19">
        <v>2002</v>
      </c>
      <c r="H71" s="10" t="s">
        <v>12</v>
      </c>
      <c r="I71" s="10" t="s">
        <v>13</v>
      </c>
      <c r="J71" s="20" t="s">
        <v>271</v>
      </c>
      <c r="K71" s="10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1024" s="1" customFormat="1" x14ac:dyDescent="0.2">
      <c r="A72" s="11">
        <f t="shared" ca="1" si="2"/>
        <v>0.39652951309571782</v>
      </c>
      <c r="B72" s="11"/>
      <c r="C72" s="10"/>
      <c r="D72" s="20" t="s">
        <v>278</v>
      </c>
      <c r="E72" s="10" t="s">
        <v>53</v>
      </c>
      <c r="F72" s="10"/>
      <c r="G72" s="19">
        <v>1966</v>
      </c>
      <c r="H72" s="10" t="s">
        <v>63</v>
      </c>
      <c r="I72" s="10"/>
      <c r="J72" s="20" t="s">
        <v>278</v>
      </c>
      <c r="K72" s="15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spans="1:1024" s="22" customFormat="1" x14ac:dyDescent="0.2">
      <c r="A73" s="11">
        <f t="shared" ca="1" si="2"/>
        <v>0.63058889202469093</v>
      </c>
      <c r="B73" s="11"/>
      <c r="C73" s="10"/>
      <c r="D73" s="20" t="s">
        <v>279</v>
      </c>
      <c r="E73" s="10" t="s">
        <v>280</v>
      </c>
      <c r="F73" s="10"/>
      <c r="G73" s="19">
        <v>1995</v>
      </c>
      <c r="H73" s="10" t="s">
        <v>13</v>
      </c>
      <c r="I73" s="10"/>
      <c r="J73" s="20" t="s">
        <v>279</v>
      </c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MI73"/>
      <c r="AMJ73"/>
    </row>
    <row r="74" spans="1:1024" s="1" customFormat="1" x14ac:dyDescent="0.2">
      <c r="A74" s="11">
        <f t="shared" ca="1" si="2"/>
        <v>1.7349504516824044E-2</v>
      </c>
      <c r="B74" s="11"/>
      <c r="C74" s="10"/>
      <c r="D74" s="20" t="s">
        <v>281</v>
      </c>
      <c r="E74" s="10" t="s">
        <v>282</v>
      </c>
      <c r="F74" s="10"/>
      <c r="G74" s="19">
        <v>2012</v>
      </c>
      <c r="H74" s="10" t="s">
        <v>12</v>
      </c>
      <c r="I74" s="10" t="s">
        <v>283</v>
      </c>
      <c r="J74" s="20" t="s">
        <v>281</v>
      </c>
      <c r="K74" s="15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spans="1:1024" s="1" customFormat="1" x14ac:dyDescent="0.2">
      <c r="A75" s="11">
        <f t="shared" ca="1" si="2"/>
        <v>0.81962496157553155</v>
      </c>
      <c r="B75" s="11"/>
      <c r="C75" s="10"/>
      <c r="D75" s="20" t="s">
        <v>285</v>
      </c>
      <c r="E75" s="10" t="s">
        <v>64</v>
      </c>
      <c r="F75" s="10"/>
      <c r="G75" s="19">
        <v>1992</v>
      </c>
      <c r="H75" s="10" t="s">
        <v>12</v>
      </c>
      <c r="I75" s="10" t="s">
        <v>66</v>
      </c>
      <c r="J75" s="20" t="s">
        <v>285</v>
      </c>
      <c r="K75" s="10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1024" s="1" customFormat="1" x14ac:dyDescent="0.2">
      <c r="A76" s="11">
        <f t="shared" ca="1" si="2"/>
        <v>0.17509953486168151</v>
      </c>
      <c r="B76" s="11"/>
      <c r="C76" s="10" t="s">
        <v>37</v>
      </c>
      <c r="D76" s="20" t="s">
        <v>286</v>
      </c>
      <c r="E76" s="10" t="s">
        <v>287</v>
      </c>
      <c r="F76" s="10"/>
      <c r="G76" s="19">
        <v>2009</v>
      </c>
      <c r="H76" s="10" t="s">
        <v>59</v>
      </c>
      <c r="I76" s="10" t="s">
        <v>288</v>
      </c>
      <c r="J76" s="20" t="s">
        <v>286</v>
      </c>
      <c r="K76" s="15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spans="1:1024" s="1" customFormat="1" x14ac:dyDescent="0.2">
      <c r="A77" s="11">
        <f t="shared" ca="1" si="2"/>
        <v>0.22076039768953315</v>
      </c>
      <c r="B77" s="11"/>
      <c r="C77" s="10"/>
      <c r="D77" s="20" t="s">
        <v>295</v>
      </c>
      <c r="E77" s="10" t="s">
        <v>107</v>
      </c>
      <c r="F77" s="10"/>
      <c r="G77" s="19">
        <v>2009</v>
      </c>
      <c r="H77" s="10" t="s">
        <v>12</v>
      </c>
      <c r="I77" s="10" t="s">
        <v>296</v>
      </c>
      <c r="J77" s="20" t="s">
        <v>295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spans="1:1024" s="1" customFormat="1" x14ac:dyDescent="0.2">
      <c r="A78" s="11">
        <f t="shared" ca="1" si="2"/>
        <v>0.4384468197449104</v>
      </c>
      <c r="B78" s="11" t="s">
        <v>1</v>
      </c>
      <c r="C78" s="10"/>
      <c r="D78" s="18" t="s">
        <v>300</v>
      </c>
      <c r="E78" s="10" t="s">
        <v>228</v>
      </c>
      <c r="F78" s="10" t="s">
        <v>92</v>
      </c>
      <c r="G78" s="19">
        <v>1997</v>
      </c>
      <c r="H78" s="10" t="s">
        <v>12</v>
      </c>
      <c r="I78" s="10" t="s">
        <v>66</v>
      </c>
      <c r="J78" s="18" t="s">
        <v>300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spans="1:1024" s="1" customFormat="1" x14ac:dyDescent="0.2">
      <c r="A79" s="11">
        <f t="shared" ca="1" si="2"/>
        <v>0.23046529584648023</v>
      </c>
      <c r="B79" s="11" t="s">
        <v>1</v>
      </c>
      <c r="C79" s="10" t="s">
        <v>77</v>
      </c>
      <c r="D79" s="20" t="s">
        <v>302</v>
      </c>
      <c r="E79" s="10" t="s">
        <v>529</v>
      </c>
      <c r="F79" s="10"/>
      <c r="G79" s="19">
        <v>1993</v>
      </c>
      <c r="H79" s="10" t="s">
        <v>12</v>
      </c>
      <c r="I79" s="10" t="s">
        <v>200</v>
      </c>
      <c r="J79" s="20" t="s">
        <v>302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spans="1:1024" s="1" customFormat="1" x14ac:dyDescent="0.2">
      <c r="A80" s="11">
        <f t="shared" ca="1" si="2"/>
        <v>0.49524536661877627</v>
      </c>
      <c r="B80" s="11" t="s">
        <v>1</v>
      </c>
      <c r="C80" s="10" t="s">
        <v>305</v>
      </c>
      <c r="D80" s="20" t="s">
        <v>306</v>
      </c>
      <c r="E80" s="15" t="s">
        <v>90</v>
      </c>
      <c r="F80" s="10"/>
      <c r="G80" s="19">
        <v>1965</v>
      </c>
      <c r="H80" s="10" t="s">
        <v>13</v>
      </c>
      <c r="I80" s="10"/>
      <c r="J80" s="20" t="s">
        <v>306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spans="1:29" s="1" customFormat="1" x14ac:dyDescent="0.2">
      <c r="A81" s="11">
        <f t="shared" ca="1" si="2"/>
        <v>0.61850898264482823</v>
      </c>
      <c r="B81" s="11" t="s">
        <v>1</v>
      </c>
      <c r="C81" s="10"/>
      <c r="D81" s="20" t="s">
        <v>307</v>
      </c>
      <c r="E81" s="10" t="s">
        <v>65</v>
      </c>
      <c r="F81" s="10" t="s">
        <v>308</v>
      </c>
      <c r="G81" s="19">
        <v>1961</v>
      </c>
      <c r="H81" s="1" t="s">
        <v>239</v>
      </c>
      <c r="J81" s="30" t="s">
        <v>307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spans="1:29" s="1" customFormat="1" x14ac:dyDescent="0.2">
      <c r="A82" s="11">
        <f t="shared" ca="1" si="2"/>
        <v>0.7487455859057548</v>
      </c>
      <c r="B82" s="11" t="s">
        <v>1</v>
      </c>
      <c r="C82" s="10"/>
      <c r="D82" s="20" t="s">
        <v>309</v>
      </c>
      <c r="E82" s="10" t="s">
        <v>310</v>
      </c>
      <c r="F82" s="10"/>
      <c r="G82" s="19">
        <v>2000</v>
      </c>
      <c r="H82" s="10" t="s">
        <v>13</v>
      </c>
      <c r="I82" s="10"/>
      <c r="J82" s="20" t="s">
        <v>309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spans="1:29" s="1" customFormat="1" x14ac:dyDescent="0.2">
      <c r="A83" s="11">
        <f t="shared" ca="1" si="2"/>
        <v>0.74481530145619779</v>
      </c>
      <c r="B83" s="11"/>
      <c r="C83" s="10" t="s">
        <v>93</v>
      </c>
      <c r="D83" s="20" t="s">
        <v>313</v>
      </c>
      <c r="E83" s="10" t="s">
        <v>314</v>
      </c>
      <c r="F83" s="10"/>
      <c r="G83" s="19">
        <v>1977</v>
      </c>
      <c r="H83" s="10" t="s">
        <v>12</v>
      </c>
      <c r="I83" s="10" t="s">
        <v>13</v>
      </c>
      <c r="J83" s="20" t="s">
        <v>313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spans="1:29" s="1" customFormat="1" x14ac:dyDescent="0.2">
      <c r="A84" s="11">
        <f t="shared" ca="1" si="2"/>
        <v>0.34528397475010475</v>
      </c>
      <c r="B84" s="24"/>
      <c r="C84" s="22"/>
      <c r="D84" s="32" t="s">
        <v>315</v>
      </c>
      <c r="E84" s="22" t="s">
        <v>316</v>
      </c>
      <c r="F84" s="22"/>
      <c r="G84" s="26">
        <v>2000</v>
      </c>
      <c r="H84" s="22" t="s">
        <v>13</v>
      </c>
      <c r="I84" s="22"/>
      <c r="J84" s="32" t="s">
        <v>315</v>
      </c>
      <c r="K84" s="10"/>
    </row>
    <row r="85" spans="1:29" s="1" customFormat="1" x14ac:dyDescent="0.2">
      <c r="A85" s="11">
        <f t="shared" ca="1" si="2"/>
        <v>0.49171089481843888</v>
      </c>
      <c r="B85" s="11"/>
      <c r="C85" s="10"/>
      <c r="D85" s="20" t="s">
        <v>319</v>
      </c>
      <c r="E85" s="15" t="s">
        <v>90</v>
      </c>
      <c r="F85" s="10"/>
      <c r="G85" s="19">
        <v>1965</v>
      </c>
      <c r="H85" s="10" t="s">
        <v>170</v>
      </c>
      <c r="I85" s="10"/>
      <c r="J85" s="20" t="s">
        <v>319</v>
      </c>
      <c r="K85" s="10"/>
    </row>
    <row r="86" spans="1:29" s="1" customFormat="1" x14ac:dyDescent="0.2">
      <c r="A86" s="11">
        <f t="shared" ca="1" si="2"/>
        <v>0.82443433680700706</v>
      </c>
      <c r="B86" s="11"/>
      <c r="C86" s="10"/>
      <c r="D86" s="20" t="s">
        <v>320</v>
      </c>
      <c r="E86" s="15" t="s">
        <v>321</v>
      </c>
      <c r="F86" s="10"/>
      <c r="G86" s="19">
        <v>2003</v>
      </c>
      <c r="H86" s="10" t="s">
        <v>322</v>
      </c>
      <c r="I86" s="10" t="s">
        <v>29</v>
      </c>
      <c r="J86" s="20" t="s">
        <v>320</v>
      </c>
    </row>
    <row r="87" spans="1:29" s="1" customFormat="1" x14ac:dyDescent="0.2">
      <c r="A87" s="11">
        <f t="shared" ca="1" si="2"/>
        <v>0.38649663328402539</v>
      </c>
      <c r="B87" s="11"/>
      <c r="C87" s="10"/>
      <c r="D87" s="20" t="s">
        <v>325</v>
      </c>
      <c r="E87" s="15" t="s">
        <v>326</v>
      </c>
      <c r="F87" s="10"/>
      <c r="G87" s="19">
        <v>1995</v>
      </c>
      <c r="H87" s="10" t="s">
        <v>12</v>
      </c>
      <c r="I87" s="10"/>
      <c r="J87" s="2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spans="1:29" s="1" customFormat="1" x14ac:dyDescent="0.2">
      <c r="A88" s="11">
        <f t="shared" ca="1" si="2"/>
        <v>0.13277549698147606</v>
      </c>
      <c r="B88" s="11"/>
      <c r="C88" s="10" t="s">
        <v>10</v>
      </c>
      <c r="D88" s="20" t="s">
        <v>327</v>
      </c>
      <c r="E88" s="15" t="s">
        <v>328</v>
      </c>
      <c r="F88" s="10"/>
      <c r="G88" s="19">
        <v>2002</v>
      </c>
      <c r="H88" s="10" t="s">
        <v>13</v>
      </c>
      <c r="I88" s="10"/>
      <c r="J88" s="20" t="s">
        <v>327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spans="1:29" s="1" customFormat="1" x14ac:dyDescent="0.2">
      <c r="A89" s="11">
        <f t="shared" ca="1" si="2"/>
        <v>0.1223332891388943</v>
      </c>
      <c r="B89" s="21" t="s">
        <v>1</v>
      </c>
      <c r="C89" s="15" t="s">
        <v>93</v>
      </c>
      <c r="D89" s="18" t="s">
        <v>329</v>
      </c>
      <c r="E89" s="15" t="s">
        <v>330</v>
      </c>
      <c r="F89" s="15"/>
      <c r="G89" s="16">
        <v>2015</v>
      </c>
      <c r="H89" s="15" t="s">
        <v>13</v>
      </c>
      <c r="I89" s="15"/>
      <c r="J89" s="18" t="s">
        <v>329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spans="1:29" s="1" customFormat="1" x14ac:dyDescent="0.2">
      <c r="A90" s="11">
        <f t="shared" ca="1" si="2"/>
        <v>0.14221890648829605</v>
      </c>
      <c r="B90" s="11"/>
      <c r="C90" s="10" t="s">
        <v>46</v>
      </c>
      <c r="D90" s="20" t="s">
        <v>334</v>
      </c>
      <c r="E90" s="15" t="s">
        <v>28</v>
      </c>
      <c r="F90" s="10"/>
      <c r="G90" s="19">
        <v>2011</v>
      </c>
      <c r="H90" s="10" t="s">
        <v>12</v>
      </c>
      <c r="I90" s="10" t="s">
        <v>29</v>
      </c>
      <c r="J90" s="20" t="s">
        <v>334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spans="1:29" s="1" customFormat="1" ht="13.5" x14ac:dyDescent="0.2">
      <c r="A91" s="11">
        <f t="shared" ca="1" si="2"/>
        <v>0.1458657570580375</v>
      </c>
      <c r="B91" s="11" t="s">
        <v>1</v>
      </c>
      <c r="C91" s="10" t="s">
        <v>26</v>
      </c>
      <c r="D91" s="20" t="s">
        <v>335</v>
      </c>
      <c r="E91" s="10" t="s">
        <v>336</v>
      </c>
      <c r="F91" s="10"/>
      <c r="G91" s="19">
        <v>1985</v>
      </c>
      <c r="H91" s="10" t="s">
        <v>69</v>
      </c>
      <c r="I91" s="10"/>
      <c r="J91" s="27"/>
      <c r="K91" s="10"/>
    </row>
    <row r="92" spans="1:29" s="1" customFormat="1" x14ac:dyDescent="0.2">
      <c r="A92" s="11">
        <f t="shared" ca="1" si="2"/>
        <v>0.36152007305091305</v>
      </c>
      <c r="B92" s="11"/>
      <c r="C92" s="10" t="s">
        <v>14</v>
      </c>
      <c r="D92" s="20" t="s">
        <v>337</v>
      </c>
      <c r="E92" s="10" t="s">
        <v>338</v>
      </c>
      <c r="F92" s="10"/>
      <c r="G92" s="19">
        <v>2014</v>
      </c>
      <c r="H92" s="10" t="s">
        <v>13</v>
      </c>
      <c r="I92" s="10"/>
      <c r="J92" s="20" t="s">
        <v>337</v>
      </c>
    </row>
    <row r="93" spans="1:29" s="1" customFormat="1" x14ac:dyDescent="0.2">
      <c r="A93" s="11">
        <f t="shared" ca="1" si="2"/>
        <v>1.5420928535567868E-2</v>
      </c>
      <c r="B93" s="21"/>
      <c r="C93" s="15" t="s">
        <v>93</v>
      </c>
      <c r="D93" s="18" t="s">
        <v>341</v>
      </c>
      <c r="E93" s="15" t="s">
        <v>342</v>
      </c>
      <c r="F93" s="15"/>
      <c r="G93" s="16">
        <v>1973</v>
      </c>
      <c r="H93" s="15" t="s">
        <v>13</v>
      </c>
      <c r="I93" s="15"/>
      <c r="J93" s="18" t="s">
        <v>341</v>
      </c>
    </row>
    <row r="94" spans="1:29" s="1" customFormat="1" x14ac:dyDescent="0.2">
      <c r="A94" s="11">
        <f t="shared" ca="1" si="2"/>
        <v>0.97747240952605086</v>
      </c>
      <c r="B94" s="11"/>
      <c r="C94" s="10" t="s">
        <v>46</v>
      </c>
      <c r="D94" s="20" t="s">
        <v>343</v>
      </c>
      <c r="E94" s="10" t="s">
        <v>344</v>
      </c>
      <c r="F94" s="10" t="s">
        <v>345</v>
      </c>
      <c r="G94" s="19">
        <v>1960</v>
      </c>
      <c r="H94" s="10" t="s">
        <v>346</v>
      </c>
      <c r="I94" s="10" t="s">
        <v>13</v>
      </c>
      <c r="J94" s="20" t="s">
        <v>343</v>
      </c>
    </row>
    <row r="95" spans="1:29" s="1" customFormat="1" x14ac:dyDescent="0.2">
      <c r="A95" s="11">
        <f t="shared" ca="1" si="2"/>
        <v>5.4168207604561425E-2</v>
      </c>
      <c r="B95" s="11"/>
      <c r="C95" s="10"/>
      <c r="D95" s="20" t="s">
        <v>347</v>
      </c>
      <c r="E95" s="10" t="s">
        <v>348</v>
      </c>
      <c r="F95" s="10"/>
      <c r="G95" s="19">
        <v>2011</v>
      </c>
      <c r="H95" s="10" t="s">
        <v>13</v>
      </c>
      <c r="I95" s="10"/>
      <c r="J95" s="2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spans="1:29" s="1" customFormat="1" ht="13.5" x14ac:dyDescent="0.2">
      <c r="A96" s="11">
        <f t="shared" ca="1" si="2"/>
        <v>0.86218766978542305</v>
      </c>
      <c r="B96" s="11" t="s">
        <v>1</v>
      </c>
      <c r="C96" s="10" t="s">
        <v>46</v>
      </c>
      <c r="D96" s="20" t="s">
        <v>349</v>
      </c>
      <c r="E96" s="10" t="s">
        <v>350</v>
      </c>
      <c r="F96" s="10"/>
      <c r="G96" s="19">
        <v>1962</v>
      </c>
      <c r="H96" s="10" t="s">
        <v>351</v>
      </c>
      <c r="I96" s="10"/>
      <c r="J96" s="27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spans="1:29" s="1" customFormat="1" x14ac:dyDescent="0.2">
      <c r="A97" s="11">
        <f t="shared" ca="1" si="2"/>
        <v>0.21316365643584456</v>
      </c>
      <c r="B97" s="11"/>
      <c r="C97" s="10" t="s">
        <v>46</v>
      </c>
      <c r="D97" s="20" t="s">
        <v>353</v>
      </c>
      <c r="E97" s="10" t="s">
        <v>234</v>
      </c>
      <c r="F97" s="10"/>
      <c r="G97" s="19">
        <v>2010</v>
      </c>
      <c r="H97" s="10" t="s">
        <v>12</v>
      </c>
      <c r="I97" s="10" t="s">
        <v>354</v>
      </c>
      <c r="J97" s="20" t="s">
        <v>353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spans="1:29" s="1" customFormat="1" ht="13.5" x14ac:dyDescent="0.2">
      <c r="A98" s="11"/>
      <c r="B98" s="11"/>
      <c r="C98" s="10"/>
      <c r="D98" s="20" t="s">
        <v>355</v>
      </c>
      <c r="E98" s="10" t="s">
        <v>356</v>
      </c>
      <c r="F98" s="10" t="s">
        <v>357</v>
      </c>
      <c r="G98" s="19">
        <v>1962</v>
      </c>
      <c r="H98" s="10" t="s">
        <v>63</v>
      </c>
      <c r="I98" s="10"/>
      <c r="J98" s="27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spans="1:29" s="10" customFormat="1" x14ac:dyDescent="0.2">
      <c r="A99" s="11">
        <f t="shared" ref="A99:A141" ca="1" si="3">RAND()</f>
        <v>0.85994946721077337</v>
      </c>
      <c r="B99" s="11"/>
      <c r="C99" s="10" t="s">
        <v>94</v>
      </c>
      <c r="D99" s="20" t="s">
        <v>358</v>
      </c>
      <c r="E99" s="10" t="s">
        <v>16</v>
      </c>
      <c r="G99" s="19">
        <v>2008</v>
      </c>
      <c r="H99" s="10" t="s">
        <v>12</v>
      </c>
      <c r="I99" s="10" t="s">
        <v>13</v>
      </c>
      <c r="J99" s="20" t="s">
        <v>358</v>
      </c>
    </row>
    <row r="100" spans="1:29" s="10" customFormat="1" x14ac:dyDescent="0.2">
      <c r="A100" s="11">
        <f t="shared" ca="1" si="3"/>
        <v>0.11238082996617416</v>
      </c>
      <c r="B100" s="11"/>
      <c r="C100" s="10" t="s">
        <v>361</v>
      </c>
      <c r="D100" s="20" t="s">
        <v>362</v>
      </c>
      <c r="E100" s="10" t="s">
        <v>363</v>
      </c>
      <c r="G100" s="19">
        <v>1972</v>
      </c>
      <c r="H100" s="10" t="s">
        <v>12</v>
      </c>
      <c r="I100" s="10" t="s">
        <v>261</v>
      </c>
      <c r="J100" s="20"/>
    </row>
    <row r="101" spans="1:29" s="1" customFormat="1" ht="13.5" x14ac:dyDescent="0.2">
      <c r="A101" s="11">
        <f t="shared" ca="1" si="3"/>
        <v>0.61769749101150417</v>
      </c>
      <c r="B101" s="11" t="s">
        <v>1</v>
      </c>
      <c r="C101" s="10"/>
      <c r="D101" s="20" t="s">
        <v>373</v>
      </c>
      <c r="E101" s="10" t="s">
        <v>228</v>
      </c>
      <c r="F101" s="10"/>
      <c r="G101" s="19">
        <v>2012</v>
      </c>
      <c r="H101" s="10" t="s">
        <v>13</v>
      </c>
      <c r="I101" s="10"/>
      <c r="J101" s="27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spans="1:29" s="1" customFormat="1" ht="13.5" x14ac:dyDescent="0.2">
      <c r="A102" s="11">
        <f t="shared" ca="1" si="3"/>
        <v>0.92204750411811653</v>
      </c>
      <c r="B102" s="11" t="s">
        <v>1</v>
      </c>
      <c r="C102" s="10" t="s">
        <v>77</v>
      </c>
      <c r="D102" s="20" t="s">
        <v>376</v>
      </c>
      <c r="E102" s="10" t="s">
        <v>110</v>
      </c>
      <c r="F102" s="10"/>
      <c r="G102" s="19">
        <v>2006</v>
      </c>
      <c r="H102" s="10" t="s">
        <v>12</v>
      </c>
      <c r="I102" s="10"/>
      <c r="J102" s="27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spans="1:29" s="1" customFormat="1" x14ac:dyDescent="0.2">
      <c r="A103" s="11">
        <f t="shared" ca="1" si="3"/>
        <v>0.91090392566349587</v>
      </c>
      <c r="B103" s="11"/>
      <c r="C103" s="10" t="s">
        <v>37</v>
      </c>
      <c r="D103" s="20" t="s">
        <v>378</v>
      </c>
      <c r="E103" s="10" t="s">
        <v>158</v>
      </c>
      <c r="F103" s="10" t="s">
        <v>379</v>
      </c>
      <c r="G103" s="19">
        <v>1999</v>
      </c>
      <c r="H103" s="10" t="s">
        <v>12</v>
      </c>
      <c r="I103" s="10" t="s">
        <v>43</v>
      </c>
      <c r="J103" s="20" t="s">
        <v>378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spans="1:29" s="1" customFormat="1" ht="13.5" x14ac:dyDescent="0.2">
      <c r="A104" s="11">
        <f t="shared" ca="1" si="3"/>
        <v>0.76187752132427933</v>
      </c>
      <c r="B104" s="11" t="s">
        <v>1</v>
      </c>
      <c r="C104" s="10"/>
      <c r="D104" s="20" t="s">
        <v>380</v>
      </c>
      <c r="E104" s="15" t="s">
        <v>359</v>
      </c>
      <c r="F104" s="10"/>
      <c r="G104" s="19">
        <v>1971</v>
      </c>
      <c r="H104" s="10" t="s">
        <v>12</v>
      </c>
      <c r="I104" s="10" t="s">
        <v>381</v>
      </c>
      <c r="J104" s="27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spans="1:29" s="1" customFormat="1" x14ac:dyDescent="0.2">
      <c r="A105" s="11">
        <f t="shared" ca="1" si="3"/>
        <v>4.2210511038558773E-2</v>
      </c>
      <c r="B105" s="11"/>
      <c r="C105" s="10" t="s">
        <v>37</v>
      </c>
      <c r="D105" s="20" t="s">
        <v>384</v>
      </c>
      <c r="E105" s="10" t="s">
        <v>385</v>
      </c>
      <c r="F105" s="10"/>
      <c r="G105" s="19">
        <v>2002</v>
      </c>
      <c r="H105" s="10" t="s">
        <v>70</v>
      </c>
      <c r="I105" s="10"/>
      <c r="J105" s="20" t="s">
        <v>384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spans="1:29" s="1" customFormat="1" x14ac:dyDescent="0.2">
      <c r="A106" s="11">
        <f t="shared" ca="1" si="3"/>
        <v>0.90824278791353008</v>
      </c>
      <c r="B106" s="11" t="s">
        <v>1</v>
      </c>
      <c r="C106" s="10" t="s">
        <v>37</v>
      </c>
      <c r="D106" s="20" t="s">
        <v>386</v>
      </c>
      <c r="E106" s="15" t="s">
        <v>387</v>
      </c>
      <c r="F106" s="10"/>
      <c r="G106" s="19">
        <v>1972</v>
      </c>
      <c r="H106" s="10" t="s">
        <v>13</v>
      </c>
      <c r="I106" s="10"/>
      <c r="J106" s="20" t="s">
        <v>386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spans="1:29" s="1" customFormat="1" x14ac:dyDescent="0.2">
      <c r="A107" s="11">
        <f t="shared" ca="1" si="3"/>
        <v>0.29516124174850888</v>
      </c>
      <c r="B107" s="11"/>
      <c r="C107" s="10" t="s">
        <v>21</v>
      </c>
      <c r="D107" s="20" t="s">
        <v>392</v>
      </c>
      <c r="E107" s="10" t="s">
        <v>393</v>
      </c>
      <c r="F107" s="10"/>
      <c r="G107" s="19">
        <v>2000</v>
      </c>
      <c r="H107" s="10" t="s">
        <v>12</v>
      </c>
      <c r="I107" s="10" t="s">
        <v>29</v>
      </c>
      <c r="J107" s="20" t="s">
        <v>392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spans="1:29" s="1" customFormat="1" x14ac:dyDescent="0.2">
      <c r="A108" s="11">
        <f t="shared" ca="1" si="3"/>
        <v>0.16251370219962324</v>
      </c>
      <c r="B108" s="11"/>
      <c r="C108" s="10"/>
      <c r="D108" s="20" t="s">
        <v>394</v>
      </c>
      <c r="E108" s="10" t="s">
        <v>28</v>
      </c>
      <c r="F108" s="10"/>
      <c r="G108" s="19">
        <v>2005</v>
      </c>
      <c r="H108" s="10" t="s">
        <v>12</v>
      </c>
      <c r="I108" s="10" t="s">
        <v>29</v>
      </c>
      <c r="J108" s="20" t="s">
        <v>394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spans="1:29" s="1" customFormat="1" x14ac:dyDescent="0.2">
      <c r="A109" s="11">
        <f t="shared" ca="1" si="3"/>
        <v>6.8691723606306709E-2</v>
      </c>
      <c r="B109" s="11"/>
      <c r="C109" s="10"/>
      <c r="D109" s="20" t="s">
        <v>408</v>
      </c>
      <c r="E109" s="10" t="s">
        <v>409</v>
      </c>
      <c r="F109" s="10"/>
      <c r="G109" s="19">
        <v>2009</v>
      </c>
      <c r="H109" s="10" t="s">
        <v>12</v>
      </c>
      <c r="I109" s="10" t="s">
        <v>63</v>
      </c>
      <c r="J109" s="20" t="s">
        <v>408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spans="1:29" s="1" customFormat="1" x14ac:dyDescent="0.2">
      <c r="A110" s="11">
        <f t="shared" ca="1" si="3"/>
        <v>0.18227847701652988</v>
      </c>
      <c r="B110" s="21" t="s">
        <v>1</v>
      </c>
      <c r="C110" s="15" t="s">
        <v>30</v>
      </c>
      <c r="D110" s="30" t="s">
        <v>410</v>
      </c>
      <c r="E110" s="15" t="s">
        <v>411</v>
      </c>
      <c r="F110" s="15"/>
      <c r="G110" s="16">
        <v>1964</v>
      </c>
      <c r="H110" s="15" t="s">
        <v>351</v>
      </c>
      <c r="I110" s="15"/>
      <c r="J110" s="30" t="s">
        <v>410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spans="1:29" s="1" customFormat="1" x14ac:dyDescent="0.2">
      <c r="A111" s="11">
        <f t="shared" ca="1" si="3"/>
        <v>1.6937736594014874E-3</v>
      </c>
      <c r="B111" s="21"/>
      <c r="C111" s="15" t="s">
        <v>46</v>
      </c>
      <c r="D111" s="18" t="s">
        <v>414</v>
      </c>
      <c r="E111" s="15" t="s">
        <v>126</v>
      </c>
      <c r="F111" s="15"/>
      <c r="G111" s="16">
        <v>2011</v>
      </c>
      <c r="H111" s="15" t="s">
        <v>70</v>
      </c>
      <c r="I111" s="15" t="s">
        <v>13</v>
      </c>
      <c r="J111" s="18" t="s">
        <v>414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spans="1:29" s="1" customFormat="1" x14ac:dyDescent="0.2">
      <c r="A112" s="11">
        <f t="shared" ca="1" si="3"/>
        <v>0.8675027877533813</v>
      </c>
      <c r="B112" s="21"/>
      <c r="C112" s="15"/>
      <c r="D112" s="18" t="s">
        <v>415</v>
      </c>
      <c r="E112" s="15" t="s">
        <v>416</v>
      </c>
      <c r="F112" s="15"/>
      <c r="G112" s="16">
        <v>2003</v>
      </c>
      <c r="H112" s="15" t="s">
        <v>12</v>
      </c>
      <c r="I112" s="15" t="s">
        <v>13</v>
      </c>
      <c r="J112" s="18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spans="1:29" s="1" customFormat="1" x14ac:dyDescent="0.2">
      <c r="A113" s="11">
        <f t="shared" ca="1" si="3"/>
        <v>0.77531078806532883</v>
      </c>
      <c r="B113" s="11"/>
      <c r="C113" s="10"/>
      <c r="D113" s="20" t="s">
        <v>417</v>
      </c>
      <c r="E113" s="10" t="s">
        <v>28</v>
      </c>
      <c r="F113" s="10"/>
      <c r="G113" s="19">
        <v>2002</v>
      </c>
      <c r="H113" s="10" t="s">
        <v>12</v>
      </c>
      <c r="I113" s="10" t="s">
        <v>29</v>
      </c>
      <c r="J113" s="20" t="s">
        <v>417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spans="1:29" s="1" customFormat="1" x14ac:dyDescent="0.2">
      <c r="A114" s="11">
        <f t="shared" ca="1" si="3"/>
        <v>0.58360919826256763</v>
      </c>
      <c r="B114" s="11"/>
      <c r="C114" s="10" t="s">
        <v>46</v>
      </c>
      <c r="D114" s="20" t="s">
        <v>421</v>
      </c>
      <c r="E114" s="10" t="s">
        <v>92</v>
      </c>
      <c r="F114" s="10"/>
      <c r="G114" s="19">
        <v>1964</v>
      </c>
      <c r="H114" s="10" t="s">
        <v>63</v>
      </c>
      <c r="I114" s="10"/>
      <c r="J114" s="20" t="s">
        <v>421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spans="1:29" s="1" customFormat="1" x14ac:dyDescent="0.2">
      <c r="A115" s="11">
        <f t="shared" ca="1" si="3"/>
        <v>0.6916595164353615</v>
      </c>
      <c r="B115" s="11"/>
      <c r="C115" s="10" t="s">
        <v>14</v>
      </c>
      <c r="D115" s="20" t="s">
        <v>422</v>
      </c>
      <c r="E115" s="10" t="s">
        <v>423</v>
      </c>
      <c r="F115" s="10"/>
      <c r="G115" s="19">
        <v>2007</v>
      </c>
      <c r="H115" s="10" t="s">
        <v>63</v>
      </c>
      <c r="I115" s="10" t="s">
        <v>43</v>
      </c>
      <c r="J115" s="20" t="s">
        <v>422</v>
      </c>
      <c r="K115" s="10"/>
    </row>
    <row r="116" spans="1:29" s="1" customFormat="1" x14ac:dyDescent="0.2">
      <c r="A116" s="11">
        <f t="shared" ca="1" si="3"/>
        <v>0.76195214106458975</v>
      </c>
      <c r="B116" s="21" t="s">
        <v>1</v>
      </c>
      <c r="C116" s="15" t="s">
        <v>14</v>
      </c>
      <c r="D116" s="18" t="s">
        <v>424</v>
      </c>
      <c r="E116" s="15" t="s">
        <v>194</v>
      </c>
      <c r="F116" s="15"/>
      <c r="G116" s="16">
        <v>1961</v>
      </c>
      <c r="H116" s="15" t="s">
        <v>59</v>
      </c>
      <c r="I116" s="15"/>
      <c r="J116" s="18" t="s">
        <v>424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spans="1:29" s="1" customFormat="1" x14ac:dyDescent="0.2">
      <c r="A117" s="11">
        <f t="shared" ca="1" si="3"/>
        <v>0.56768638194478727</v>
      </c>
      <c r="B117" s="21" t="s">
        <v>1</v>
      </c>
      <c r="C117" s="15" t="s">
        <v>21</v>
      </c>
      <c r="D117" s="18" t="s">
        <v>425</v>
      </c>
      <c r="E117" s="15" t="s">
        <v>426</v>
      </c>
      <c r="F117" s="15"/>
      <c r="G117" s="16">
        <v>1987</v>
      </c>
      <c r="H117" s="15" t="s">
        <v>69</v>
      </c>
      <c r="I117" s="15"/>
      <c r="J117" s="18" t="s">
        <v>425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spans="1:29" s="1" customFormat="1" x14ac:dyDescent="0.2">
      <c r="A118" s="11">
        <f t="shared" ca="1" si="3"/>
        <v>0.46022576708235929</v>
      </c>
      <c r="B118" s="11" t="s">
        <v>1</v>
      </c>
      <c r="C118" s="10"/>
      <c r="D118" s="20" t="s">
        <v>431</v>
      </c>
      <c r="E118" s="10" t="s">
        <v>206</v>
      </c>
      <c r="F118" s="10"/>
      <c r="G118" s="19">
        <v>2004</v>
      </c>
      <c r="H118" s="10" t="s">
        <v>12</v>
      </c>
      <c r="I118" s="10" t="s">
        <v>13</v>
      </c>
      <c r="J118" s="20" t="s">
        <v>431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spans="1:29" s="1" customFormat="1" x14ac:dyDescent="0.2">
      <c r="A119" s="11">
        <f t="shared" ca="1" si="3"/>
        <v>0.47397267416885913</v>
      </c>
      <c r="B119" s="21"/>
      <c r="C119" s="15" t="s">
        <v>148</v>
      </c>
      <c r="D119" s="18" t="s">
        <v>440</v>
      </c>
      <c r="E119" s="15" t="s">
        <v>441</v>
      </c>
      <c r="F119" s="15"/>
      <c r="G119" s="16">
        <v>1972</v>
      </c>
      <c r="H119" s="15" t="s">
        <v>13</v>
      </c>
      <c r="I119" s="15"/>
      <c r="J119" s="18" t="s">
        <v>440</v>
      </c>
      <c r="K119" s="10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s="1" customFormat="1" ht="13.5" x14ac:dyDescent="0.2">
      <c r="A120" s="11">
        <f t="shared" ca="1" si="3"/>
        <v>0.17210738446121832</v>
      </c>
      <c r="B120" s="11" t="s">
        <v>1</v>
      </c>
      <c r="C120" s="10"/>
      <c r="D120" s="20" t="s">
        <v>444</v>
      </c>
      <c r="E120" s="10" t="s">
        <v>110</v>
      </c>
      <c r="F120" s="10"/>
      <c r="G120" s="19">
        <v>1991</v>
      </c>
      <c r="H120" s="10" t="s">
        <v>29</v>
      </c>
      <c r="I120" s="10"/>
      <c r="J120" s="27"/>
      <c r="K120" s="15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spans="1:29" s="1" customFormat="1" ht="13.5" x14ac:dyDescent="0.2">
      <c r="A121" s="11">
        <f t="shared" ca="1" si="3"/>
        <v>0.36134466020554057</v>
      </c>
      <c r="B121" s="11" t="s">
        <v>1</v>
      </c>
      <c r="C121" s="10"/>
      <c r="D121" s="30" t="s">
        <v>531</v>
      </c>
      <c r="E121" s="10" t="s">
        <v>532</v>
      </c>
      <c r="F121" s="10"/>
      <c r="G121" s="19">
        <v>1991</v>
      </c>
      <c r="H121" s="10" t="s">
        <v>20</v>
      </c>
      <c r="I121" s="10"/>
      <c r="J121" s="27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spans="1:29" s="1" customFormat="1" x14ac:dyDescent="0.2">
      <c r="A122" s="11">
        <f t="shared" ca="1" si="3"/>
        <v>0.23944307989574043</v>
      </c>
      <c r="B122" s="11"/>
      <c r="C122" s="10"/>
      <c r="D122" s="20" t="s">
        <v>447</v>
      </c>
      <c r="E122" s="10" t="s">
        <v>448</v>
      </c>
      <c r="F122" s="10"/>
      <c r="G122" s="19">
        <v>2002</v>
      </c>
      <c r="H122" s="10" t="s">
        <v>12</v>
      </c>
      <c r="I122" s="10"/>
      <c r="J122" s="20" t="s">
        <v>447</v>
      </c>
      <c r="K122" s="10"/>
    </row>
    <row r="123" spans="1:29" s="1" customFormat="1" x14ac:dyDescent="0.2">
      <c r="A123" s="11">
        <f t="shared" ca="1" si="3"/>
        <v>0.46590362576051603</v>
      </c>
      <c r="B123" s="11"/>
      <c r="C123" s="29"/>
      <c r="D123" s="20" t="s">
        <v>449</v>
      </c>
      <c r="E123" s="10" t="s">
        <v>342</v>
      </c>
      <c r="F123" s="10"/>
      <c r="G123" s="19">
        <v>1983</v>
      </c>
      <c r="H123" s="10" t="s">
        <v>12</v>
      </c>
      <c r="I123" s="10" t="s">
        <v>13</v>
      </c>
      <c r="J123" s="20" t="s">
        <v>449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spans="1:29" s="1" customFormat="1" x14ac:dyDescent="0.2">
      <c r="A124" s="11">
        <f t="shared" ca="1" si="3"/>
        <v>0.71835353715562211</v>
      </c>
      <c r="B124" s="11"/>
      <c r="C124" s="10"/>
      <c r="D124" s="20" t="s">
        <v>450</v>
      </c>
      <c r="E124" s="10" t="s">
        <v>184</v>
      </c>
      <c r="F124" s="10"/>
      <c r="G124" s="19">
        <v>2010</v>
      </c>
      <c r="H124" s="10" t="s">
        <v>13</v>
      </c>
      <c r="I124" s="10" t="s">
        <v>185</v>
      </c>
      <c r="J124" s="20" t="s">
        <v>450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spans="1:29" s="1" customFormat="1" x14ac:dyDescent="0.2">
      <c r="A125" s="11">
        <f t="shared" ca="1" si="3"/>
        <v>0.52801409463621407</v>
      </c>
      <c r="B125" s="11"/>
      <c r="C125" s="10" t="s">
        <v>93</v>
      </c>
      <c r="D125" s="20" t="s">
        <v>453</v>
      </c>
      <c r="E125" s="10" t="s">
        <v>28</v>
      </c>
      <c r="F125" s="10"/>
      <c r="G125" s="19">
        <v>2008</v>
      </c>
      <c r="H125" s="10" t="s">
        <v>13</v>
      </c>
      <c r="I125" s="10" t="s">
        <v>454</v>
      </c>
      <c r="J125" s="20" t="s">
        <v>453</v>
      </c>
      <c r="K125" s="15"/>
    </row>
    <row r="126" spans="1:29" s="1" customFormat="1" x14ac:dyDescent="0.2">
      <c r="A126" s="11">
        <f t="shared" ca="1" si="3"/>
        <v>0.42417161441127882</v>
      </c>
      <c r="B126" s="11"/>
      <c r="C126" s="10"/>
      <c r="D126" s="18" t="s">
        <v>455</v>
      </c>
      <c r="E126" s="15" t="s">
        <v>456</v>
      </c>
      <c r="F126" s="15"/>
      <c r="G126" s="16">
        <v>2013</v>
      </c>
      <c r="H126" s="15" t="s">
        <v>360</v>
      </c>
      <c r="I126" s="15"/>
      <c r="J126" s="18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spans="1:29" s="1" customFormat="1" x14ac:dyDescent="0.2">
      <c r="A127" s="11">
        <f t="shared" ca="1" si="3"/>
        <v>0.11435276655217774</v>
      </c>
      <c r="B127" s="11"/>
      <c r="C127" s="10"/>
      <c r="D127" s="20" t="s">
        <v>457</v>
      </c>
      <c r="E127" s="10" t="s">
        <v>208</v>
      </c>
      <c r="F127" s="10"/>
      <c r="G127" s="19">
        <v>2005</v>
      </c>
      <c r="H127" s="10" t="s">
        <v>12</v>
      </c>
      <c r="I127" s="10" t="s">
        <v>29</v>
      </c>
      <c r="J127" s="20" t="s">
        <v>457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spans="1:29" s="10" customFormat="1" x14ac:dyDescent="0.2">
      <c r="A128" s="11">
        <f t="shared" ca="1" si="3"/>
        <v>0.35107961550602129</v>
      </c>
      <c r="B128" s="11"/>
      <c r="C128" s="10" t="s">
        <v>14</v>
      </c>
      <c r="D128" s="18" t="s">
        <v>461</v>
      </c>
      <c r="E128" s="10" t="s">
        <v>462</v>
      </c>
      <c r="G128" s="19">
        <v>1993</v>
      </c>
      <c r="H128" s="10" t="s">
        <v>12</v>
      </c>
      <c r="I128" s="10" t="s">
        <v>29</v>
      </c>
      <c r="J128" s="18" t="s">
        <v>461</v>
      </c>
    </row>
    <row r="129" spans="1:29" s="1" customFormat="1" x14ac:dyDescent="0.2">
      <c r="A129" s="11">
        <f t="shared" ca="1" si="3"/>
        <v>0.24998197596196614</v>
      </c>
      <c r="B129" s="11" t="s">
        <v>1</v>
      </c>
      <c r="C129" s="10" t="s">
        <v>37</v>
      </c>
      <c r="D129" s="18" t="s">
        <v>463</v>
      </c>
      <c r="E129" s="10" t="s">
        <v>464</v>
      </c>
      <c r="F129" s="10"/>
      <c r="G129" s="19">
        <v>2006</v>
      </c>
      <c r="H129" s="10" t="s">
        <v>12</v>
      </c>
      <c r="I129" s="10" t="s">
        <v>29</v>
      </c>
      <c r="J129" s="18" t="s">
        <v>463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spans="1:29" s="29" customFormat="1" x14ac:dyDescent="0.2">
      <c r="A130" s="11">
        <f t="shared" ca="1" si="3"/>
        <v>0.8710459649218848</v>
      </c>
      <c r="B130" s="11"/>
      <c r="C130" s="10" t="s">
        <v>17</v>
      </c>
      <c r="D130" s="20" t="s">
        <v>465</v>
      </c>
      <c r="E130" s="10" t="s">
        <v>466</v>
      </c>
      <c r="F130" s="10"/>
      <c r="G130" s="19">
        <v>2003</v>
      </c>
      <c r="H130" s="10" t="s">
        <v>13</v>
      </c>
      <c r="I130" s="10"/>
      <c r="J130" s="20" t="s">
        <v>465</v>
      </c>
      <c r="K130" s="10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1:29" s="1" customFormat="1" x14ac:dyDescent="0.2">
      <c r="A131" s="11">
        <f t="shared" ca="1" si="3"/>
        <v>0.84917608199339412</v>
      </c>
      <c r="B131" s="11"/>
      <c r="C131" s="10" t="s">
        <v>77</v>
      </c>
      <c r="D131" s="18" t="s">
        <v>469</v>
      </c>
      <c r="E131" s="15" t="s">
        <v>470</v>
      </c>
      <c r="F131" s="15"/>
      <c r="G131" s="16">
        <v>1970</v>
      </c>
      <c r="H131" s="15" t="s">
        <v>12</v>
      </c>
      <c r="I131" s="15" t="s">
        <v>63</v>
      </c>
      <c r="J131" s="18" t="s">
        <v>469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spans="1:29" s="1" customFormat="1" x14ac:dyDescent="0.2">
      <c r="A132" s="11">
        <f t="shared" ca="1" si="3"/>
        <v>6.4891269922879191E-2</v>
      </c>
      <c r="B132" s="31"/>
      <c r="C132" s="1" t="s">
        <v>10</v>
      </c>
      <c r="D132" s="20" t="s">
        <v>472</v>
      </c>
      <c r="E132" s="1" t="s">
        <v>473</v>
      </c>
      <c r="G132" s="3">
        <v>1975</v>
      </c>
      <c r="H132" s="1" t="s">
        <v>12</v>
      </c>
      <c r="I132" s="1" t="s">
        <v>474</v>
      </c>
      <c r="J132" s="20" t="s">
        <v>472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spans="1:29" s="10" customFormat="1" x14ac:dyDescent="0.2">
      <c r="A133" s="11">
        <f t="shared" ca="1" si="3"/>
        <v>0.65717835783804168</v>
      </c>
      <c r="B133" s="11"/>
      <c r="D133" s="20" t="s">
        <v>475</v>
      </c>
      <c r="E133" s="10" t="s">
        <v>64</v>
      </c>
      <c r="G133" s="19">
        <v>1977</v>
      </c>
      <c r="H133" s="10" t="s">
        <v>12</v>
      </c>
      <c r="I133" s="10" t="s">
        <v>33</v>
      </c>
      <c r="J133" s="20" t="s">
        <v>475</v>
      </c>
      <c r="K133" s="1"/>
    </row>
    <row r="134" spans="1:29" s="1" customFormat="1" x14ac:dyDescent="0.2">
      <c r="A134" s="11">
        <f t="shared" ca="1" si="3"/>
        <v>0.46547947845525861</v>
      </c>
      <c r="B134" s="11"/>
      <c r="C134" s="10" t="s">
        <v>10</v>
      </c>
      <c r="D134" s="20" t="s">
        <v>476</v>
      </c>
      <c r="E134" s="10" t="s">
        <v>153</v>
      </c>
      <c r="F134" s="10"/>
      <c r="G134" s="19">
        <v>1995</v>
      </c>
      <c r="H134" s="10" t="s">
        <v>13</v>
      </c>
      <c r="I134" s="10"/>
      <c r="J134" s="20" t="s">
        <v>476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spans="1:29" s="1" customFormat="1" x14ac:dyDescent="0.2">
      <c r="A135" s="11">
        <f t="shared" ca="1" si="3"/>
        <v>0.58713807248777139</v>
      </c>
      <c r="B135" s="11"/>
      <c r="C135" s="10"/>
      <c r="D135" s="20" t="s">
        <v>477</v>
      </c>
      <c r="E135" s="10" t="s">
        <v>28</v>
      </c>
      <c r="F135" s="10"/>
      <c r="G135" s="19">
        <v>2000</v>
      </c>
      <c r="H135" s="10" t="s">
        <v>12</v>
      </c>
      <c r="I135" s="10" t="s">
        <v>29</v>
      </c>
      <c r="J135" s="20" t="s">
        <v>477</v>
      </c>
    </row>
    <row r="136" spans="1:29" s="1" customFormat="1" x14ac:dyDescent="0.2">
      <c r="A136" s="11">
        <f t="shared" ca="1" si="3"/>
        <v>0.23885355846230749</v>
      </c>
      <c r="B136" s="11"/>
      <c r="C136" s="10"/>
      <c r="D136" s="20" t="s">
        <v>478</v>
      </c>
      <c r="E136" s="15" t="s">
        <v>90</v>
      </c>
      <c r="F136" s="10"/>
      <c r="G136" s="19">
        <v>1965</v>
      </c>
      <c r="H136" s="10" t="s">
        <v>13</v>
      </c>
      <c r="I136" s="10" t="s">
        <v>454</v>
      </c>
      <c r="J136" s="20" t="s">
        <v>478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spans="1:29" s="1" customFormat="1" x14ac:dyDescent="0.2">
      <c r="A137" s="11">
        <f t="shared" ca="1" si="3"/>
        <v>0.40973305650161262</v>
      </c>
      <c r="B137" s="11"/>
      <c r="C137" s="10" t="s">
        <v>46</v>
      </c>
      <c r="D137" s="20" t="s">
        <v>479</v>
      </c>
      <c r="E137" s="10" t="s">
        <v>480</v>
      </c>
      <c r="F137" s="10"/>
      <c r="G137" s="19">
        <v>2005</v>
      </c>
      <c r="H137" s="10" t="s">
        <v>12</v>
      </c>
      <c r="I137" s="10" t="s">
        <v>481</v>
      </c>
      <c r="J137" s="20" t="s">
        <v>479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spans="1:29" s="1" customFormat="1" x14ac:dyDescent="0.2">
      <c r="A138" s="11">
        <f t="shared" ca="1" si="3"/>
        <v>0.47231868837961499</v>
      </c>
      <c r="B138" s="11" t="s">
        <v>1</v>
      </c>
      <c r="C138" s="10"/>
      <c r="D138" s="20" t="s">
        <v>482</v>
      </c>
      <c r="E138" s="10" t="s">
        <v>122</v>
      </c>
      <c r="F138" s="10"/>
      <c r="G138" s="19">
        <v>2015</v>
      </c>
      <c r="H138" s="10" t="s">
        <v>12</v>
      </c>
      <c r="I138" s="10"/>
      <c r="J138" s="20" t="s">
        <v>482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spans="1:29" s="1" customFormat="1" x14ac:dyDescent="0.2">
      <c r="A139" s="11">
        <f t="shared" ca="1" si="3"/>
        <v>0.47484994623666865</v>
      </c>
      <c r="B139" s="11"/>
      <c r="C139" s="10" t="s">
        <v>93</v>
      </c>
      <c r="D139" s="20" t="s">
        <v>487</v>
      </c>
      <c r="E139" s="10" t="s">
        <v>363</v>
      </c>
      <c r="F139" s="10"/>
      <c r="G139" s="19">
        <v>1970</v>
      </c>
      <c r="H139" s="10" t="s">
        <v>13</v>
      </c>
      <c r="I139" s="10"/>
      <c r="J139" s="20" t="s">
        <v>487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spans="1:29" s="1" customFormat="1" ht="13.5" x14ac:dyDescent="0.2">
      <c r="A140" s="11">
        <f t="shared" ca="1" si="3"/>
        <v>1.2810220599784761E-2</v>
      </c>
      <c r="B140" s="11"/>
      <c r="C140" s="10" t="s">
        <v>46</v>
      </c>
      <c r="D140" s="20" t="s">
        <v>486</v>
      </c>
      <c r="E140" s="15" t="s">
        <v>90</v>
      </c>
      <c r="F140" s="10"/>
      <c r="G140" s="19">
        <v>1965</v>
      </c>
      <c r="H140" s="10" t="s">
        <v>13</v>
      </c>
      <c r="I140" s="10" t="s">
        <v>12</v>
      </c>
      <c r="J140" s="27"/>
      <c r="K140" s="10"/>
    </row>
    <row r="141" spans="1:29" s="1" customFormat="1" ht="13.5" x14ac:dyDescent="0.2">
      <c r="A141" s="11">
        <f t="shared" ca="1" si="3"/>
        <v>0.64410124806854974</v>
      </c>
      <c r="B141" s="11"/>
      <c r="C141" s="10" t="s">
        <v>10</v>
      </c>
      <c r="D141" s="20" t="s">
        <v>488</v>
      </c>
      <c r="E141" s="10" t="s">
        <v>489</v>
      </c>
      <c r="F141" s="10"/>
      <c r="G141" s="19">
        <v>1994</v>
      </c>
      <c r="H141" s="10" t="s">
        <v>12</v>
      </c>
      <c r="I141" s="10" t="s">
        <v>29</v>
      </c>
      <c r="J141" s="27"/>
    </row>
  </sheetData>
  <sortState xmlns:xlrd2="http://schemas.microsoft.com/office/spreadsheetml/2017/richdata2" ref="A3:J141">
    <sortCondition ref="D33"/>
  </sortState>
  <hyperlinks>
    <hyperlink ref="D4" r:id="rId1" xr:uid="{00000000-0004-0000-0000-000000000000}"/>
    <hyperlink ref="J4" r:id="rId2" xr:uid="{00000000-0004-0000-0000-000001000000}"/>
    <hyperlink ref="D5" r:id="rId3" xr:uid="{00000000-0004-0000-0000-000002000000}"/>
    <hyperlink ref="D6" r:id="rId4" xr:uid="{00000000-0004-0000-0000-000003000000}"/>
    <hyperlink ref="J6" r:id="rId5" xr:uid="{00000000-0004-0000-0000-000004000000}"/>
    <hyperlink ref="D7" r:id="rId6" xr:uid="{00000000-0004-0000-0000-000005000000}"/>
    <hyperlink ref="J7" r:id="rId7" xr:uid="{00000000-0004-0000-0000-000006000000}"/>
    <hyperlink ref="D8" r:id="rId8" xr:uid="{00000000-0004-0000-0000-000007000000}"/>
    <hyperlink ref="J8" r:id="rId9" xr:uid="{00000000-0004-0000-0000-000008000000}"/>
    <hyperlink ref="D9" r:id="rId10" xr:uid="{00000000-0004-0000-0000-000009000000}"/>
    <hyperlink ref="J9" r:id="rId11" xr:uid="{00000000-0004-0000-0000-00000A000000}"/>
    <hyperlink ref="D10" r:id="rId12" xr:uid="{00000000-0004-0000-0000-00000B000000}"/>
    <hyperlink ref="J10" r:id="rId13" xr:uid="{00000000-0004-0000-0000-00000C000000}"/>
    <hyperlink ref="D11" r:id="rId14" xr:uid="{00000000-0004-0000-0000-00000D000000}"/>
    <hyperlink ref="J11" r:id="rId15" xr:uid="{00000000-0004-0000-0000-00000E000000}"/>
    <hyperlink ref="D12" r:id="rId16" xr:uid="{00000000-0004-0000-0000-00000F000000}"/>
    <hyperlink ref="J12" r:id="rId17" xr:uid="{00000000-0004-0000-0000-000010000000}"/>
    <hyperlink ref="D13" r:id="rId18" xr:uid="{00000000-0004-0000-0000-000011000000}"/>
    <hyperlink ref="J13" r:id="rId19" xr:uid="{00000000-0004-0000-0000-000012000000}"/>
    <hyperlink ref="D14" r:id="rId20" xr:uid="{00000000-0004-0000-0000-000013000000}"/>
    <hyperlink ref="J14" r:id="rId21" xr:uid="{00000000-0004-0000-0000-000014000000}"/>
    <hyperlink ref="D15" r:id="rId22" xr:uid="{00000000-0004-0000-0000-000015000000}"/>
    <hyperlink ref="D16" r:id="rId23" xr:uid="{00000000-0004-0000-0000-000016000000}"/>
    <hyperlink ref="J16" r:id="rId24" xr:uid="{00000000-0004-0000-0000-000017000000}"/>
    <hyperlink ref="D17" r:id="rId25" xr:uid="{00000000-0004-0000-0000-000018000000}"/>
    <hyperlink ref="J17" r:id="rId26" xr:uid="{00000000-0004-0000-0000-000019000000}"/>
    <hyperlink ref="D18" r:id="rId27" xr:uid="{00000000-0004-0000-0000-00001A000000}"/>
    <hyperlink ref="D19" r:id="rId28" xr:uid="{00000000-0004-0000-0000-00001B000000}"/>
    <hyperlink ref="J19" r:id="rId29" xr:uid="{00000000-0004-0000-0000-00001C000000}"/>
    <hyperlink ref="D20" r:id="rId30" xr:uid="{00000000-0004-0000-0000-00001D000000}"/>
    <hyperlink ref="D21" r:id="rId31" xr:uid="{00000000-0004-0000-0000-00001E000000}"/>
    <hyperlink ref="D22" r:id="rId32" xr:uid="{00000000-0004-0000-0000-00001F000000}"/>
    <hyperlink ref="J22" r:id="rId33" xr:uid="{00000000-0004-0000-0000-000020000000}"/>
    <hyperlink ref="D23" r:id="rId34" xr:uid="{00000000-0004-0000-0000-000021000000}"/>
    <hyperlink ref="D24" r:id="rId35" xr:uid="{00000000-0004-0000-0000-000022000000}"/>
    <hyperlink ref="J24" r:id="rId36" xr:uid="{00000000-0004-0000-0000-000023000000}"/>
    <hyperlink ref="D25" r:id="rId37" xr:uid="{00000000-0004-0000-0000-000024000000}"/>
    <hyperlink ref="J25" r:id="rId38" xr:uid="{00000000-0004-0000-0000-000025000000}"/>
    <hyperlink ref="D26" r:id="rId39" xr:uid="{00000000-0004-0000-0000-000026000000}"/>
    <hyperlink ref="J26" r:id="rId40" xr:uid="{00000000-0004-0000-0000-000027000000}"/>
    <hyperlink ref="D27" r:id="rId41" xr:uid="{00000000-0004-0000-0000-000028000000}"/>
    <hyperlink ref="D28" r:id="rId42" xr:uid="{00000000-0004-0000-0000-000029000000}"/>
    <hyperlink ref="D29" r:id="rId43" xr:uid="{00000000-0004-0000-0000-00002A000000}"/>
    <hyperlink ref="J29" r:id="rId44" xr:uid="{00000000-0004-0000-0000-00002B000000}"/>
    <hyperlink ref="D30" r:id="rId45" xr:uid="{00000000-0004-0000-0000-00002C000000}"/>
    <hyperlink ref="J30" r:id="rId46" xr:uid="{00000000-0004-0000-0000-00002D000000}"/>
    <hyperlink ref="D31" r:id="rId47" xr:uid="{00000000-0004-0000-0000-00002E000000}"/>
    <hyperlink ref="J31" r:id="rId48" xr:uid="{00000000-0004-0000-0000-00002F000000}"/>
    <hyperlink ref="D32" r:id="rId49" xr:uid="{00000000-0004-0000-0000-000030000000}"/>
    <hyperlink ref="J32" r:id="rId50" xr:uid="{00000000-0004-0000-0000-000031000000}"/>
    <hyperlink ref="D33" r:id="rId51" xr:uid="{00000000-0004-0000-0000-000032000000}"/>
    <hyperlink ref="J33" r:id="rId52" xr:uid="{00000000-0004-0000-0000-000033000000}"/>
    <hyperlink ref="D34" r:id="rId53" xr:uid="{00000000-0004-0000-0000-000034000000}"/>
    <hyperlink ref="J34" r:id="rId54" xr:uid="{00000000-0004-0000-0000-000035000000}"/>
    <hyperlink ref="D35" r:id="rId55" xr:uid="{00000000-0004-0000-0000-000036000000}"/>
    <hyperlink ref="J35" r:id="rId56" xr:uid="{00000000-0004-0000-0000-000037000000}"/>
    <hyperlink ref="D36" r:id="rId57" xr:uid="{00000000-0004-0000-0000-000038000000}"/>
    <hyperlink ref="J36" r:id="rId58" xr:uid="{00000000-0004-0000-0000-000039000000}"/>
    <hyperlink ref="D37" r:id="rId59" xr:uid="{00000000-0004-0000-0000-00003A000000}"/>
    <hyperlink ref="D38" r:id="rId60" xr:uid="{00000000-0004-0000-0000-00003B000000}"/>
    <hyperlink ref="J38" r:id="rId61" xr:uid="{00000000-0004-0000-0000-00003C000000}"/>
    <hyperlink ref="D39" r:id="rId62" xr:uid="{00000000-0004-0000-0000-00003D000000}"/>
    <hyperlink ref="J39" r:id="rId63" xr:uid="{00000000-0004-0000-0000-00003E000000}"/>
    <hyperlink ref="D40" r:id="rId64" xr:uid="{00000000-0004-0000-0000-00003F000000}"/>
    <hyperlink ref="J40" r:id="rId65" xr:uid="{00000000-0004-0000-0000-000040000000}"/>
    <hyperlink ref="D41" r:id="rId66" xr:uid="{00000000-0004-0000-0000-000041000000}"/>
    <hyperlink ref="J41" r:id="rId67" xr:uid="{00000000-0004-0000-0000-000042000000}"/>
    <hyperlink ref="D42" r:id="rId68" xr:uid="{00000000-0004-0000-0000-000043000000}"/>
    <hyperlink ref="J42" r:id="rId69" xr:uid="{00000000-0004-0000-0000-000044000000}"/>
    <hyperlink ref="D43" r:id="rId70" xr:uid="{00000000-0004-0000-0000-000045000000}"/>
    <hyperlink ref="J43" r:id="rId71" xr:uid="{00000000-0004-0000-0000-000046000000}"/>
    <hyperlink ref="D44" r:id="rId72" xr:uid="{00000000-0004-0000-0000-000047000000}"/>
    <hyperlink ref="J44" r:id="rId73" xr:uid="{00000000-0004-0000-0000-000048000000}"/>
    <hyperlink ref="D45" r:id="rId74" xr:uid="{00000000-0004-0000-0000-000049000000}"/>
    <hyperlink ref="J45" r:id="rId75" xr:uid="{00000000-0004-0000-0000-00004A000000}"/>
    <hyperlink ref="D47" r:id="rId76" xr:uid="{00000000-0004-0000-0000-00004B000000}"/>
    <hyperlink ref="J47" r:id="rId77" xr:uid="{00000000-0004-0000-0000-00004C000000}"/>
    <hyperlink ref="D48" r:id="rId78" xr:uid="{00000000-0004-0000-0000-00004D000000}"/>
    <hyperlink ref="J48" r:id="rId79" xr:uid="{00000000-0004-0000-0000-00004E000000}"/>
    <hyperlink ref="D49" r:id="rId80" xr:uid="{00000000-0004-0000-0000-00004F000000}"/>
    <hyperlink ref="D50" r:id="rId81" xr:uid="{00000000-0004-0000-0000-000050000000}"/>
    <hyperlink ref="J50" r:id="rId82" xr:uid="{00000000-0004-0000-0000-000051000000}"/>
    <hyperlink ref="D51" r:id="rId83" xr:uid="{00000000-0004-0000-0000-000052000000}"/>
    <hyperlink ref="J51" r:id="rId84" xr:uid="{00000000-0004-0000-0000-000053000000}"/>
    <hyperlink ref="D52" r:id="rId85" xr:uid="{00000000-0004-0000-0000-000054000000}"/>
    <hyperlink ref="D53" r:id="rId86" xr:uid="{00000000-0004-0000-0000-000055000000}"/>
    <hyperlink ref="J53" r:id="rId87" xr:uid="{00000000-0004-0000-0000-000056000000}"/>
    <hyperlink ref="D54" r:id="rId88" xr:uid="{00000000-0004-0000-0000-000057000000}"/>
    <hyperlink ref="J54" r:id="rId89" xr:uid="{00000000-0004-0000-0000-000058000000}"/>
    <hyperlink ref="D55" r:id="rId90" xr:uid="{00000000-0004-0000-0000-000059000000}"/>
    <hyperlink ref="J55" r:id="rId91" xr:uid="{00000000-0004-0000-0000-00005A000000}"/>
    <hyperlink ref="D56" r:id="rId92" xr:uid="{00000000-0004-0000-0000-00005B000000}"/>
    <hyperlink ref="J56" r:id="rId93" xr:uid="{00000000-0004-0000-0000-00005C000000}"/>
    <hyperlink ref="D57" r:id="rId94" xr:uid="{00000000-0004-0000-0000-00005D000000}"/>
    <hyperlink ref="J57" r:id="rId95" xr:uid="{00000000-0004-0000-0000-00005E000000}"/>
    <hyperlink ref="D58" r:id="rId96" xr:uid="{00000000-0004-0000-0000-00005F000000}"/>
    <hyperlink ref="J58" r:id="rId97" xr:uid="{00000000-0004-0000-0000-000060000000}"/>
    <hyperlink ref="D59" r:id="rId98" xr:uid="{00000000-0004-0000-0000-000061000000}"/>
    <hyperlink ref="J59" r:id="rId99" xr:uid="{00000000-0004-0000-0000-000062000000}"/>
    <hyperlink ref="D60" r:id="rId100" xr:uid="{00000000-0004-0000-0000-000063000000}"/>
    <hyperlink ref="J60" r:id="rId101" xr:uid="{00000000-0004-0000-0000-000064000000}"/>
    <hyperlink ref="D61" r:id="rId102" xr:uid="{00000000-0004-0000-0000-000065000000}"/>
    <hyperlink ref="J61" r:id="rId103" xr:uid="{00000000-0004-0000-0000-000066000000}"/>
    <hyperlink ref="D62" r:id="rId104" xr:uid="{00000000-0004-0000-0000-000067000000}"/>
    <hyperlink ref="J62" r:id="rId105" xr:uid="{00000000-0004-0000-0000-000068000000}"/>
    <hyperlink ref="D63" r:id="rId106" xr:uid="{00000000-0004-0000-0000-000069000000}"/>
    <hyperlink ref="J63" r:id="rId107" xr:uid="{00000000-0004-0000-0000-00006A000000}"/>
    <hyperlink ref="D64" r:id="rId108" xr:uid="{00000000-0004-0000-0000-00006B000000}"/>
    <hyperlink ref="J64" r:id="rId109" xr:uid="{00000000-0004-0000-0000-00006C000000}"/>
    <hyperlink ref="D65" r:id="rId110" xr:uid="{00000000-0004-0000-0000-00006D000000}"/>
    <hyperlink ref="J65" r:id="rId111" xr:uid="{00000000-0004-0000-0000-00006E000000}"/>
    <hyperlink ref="D67" r:id="rId112" xr:uid="{00000000-0004-0000-0000-00006F000000}"/>
    <hyperlink ref="J67" r:id="rId113" xr:uid="{00000000-0004-0000-0000-000070000000}"/>
    <hyperlink ref="D68" r:id="rId114" xr:uid="{00000000-0004-0000-0000-000071000000}"/>
    <hyperlink ref="J68" r:id="rId115" xr:uid="{00000000-0004-0000-0000-000072000000}"/>
    <hyperlink ref="D69" r:id="rId116" xr:uid="{00000000-0004-0000-0000-000073000000}"/>
    <hyperlink ref="J69" r:id="rId117" xr:uid="{00000000-0004-0000-0000-000074000000}"/>
    <hyperlink ref="D70" r:id="rId118" xr:uid="{00000000-0004-0000-0000-000075000000}"/>
    <hyperlink ref="J70" r:id="rId119" xr:uid="{00000000-0004-0000-0000-000076000000}"/>
    <hyperlink ref="D71" r:id="rId120" xr:uid="{00000000-0004-0000-0000-000077000000}"/>
    <hyperlink ref="J71" r:id="rId121" xr:uid="{00000000-0004-0000-0000-000078000000}"/>
    <hyperlink ref="D72" r:id="rId122" xr:uid="{00000000-0004-0000-0000-000079000000}"/>
    <hyperlink ref="J72" r:id="rId123" xr:uid="{00000000-0004-0000-0000-00007A000000}"/>
    <hyperlink ref="D73" r:id="rId124" xr:uid="{00000000-0004-0000-0000-00007B000000}"/>
    <hyperlink ref="J73" r:id="rId125" xr:uid="{00000000-0004-0000-0000-00007C000000}"/>
    <hyperlink ref="D74" r:id="rId126" xr:uid="{00000000-0004-0000-0000-00007D000000}"/>
    <hyperlink ref="J74" r:id="rId127" xr:uid="{00000000-0004-0000-0000-00007E000000}"/>
    <hyperlink ref="D75" r:id="rId128" xr:uid="{00000000-0004-0000-0000-00007F000000}"/>
    <hyperlink ref="J75" r:id="rId129" xr:uid="{00000000-0004-0000-0000-000080000000}"/>
    <hyperlink ref="D76" r:id="rId130" xr:uid="{00000000-0004-0000-0000-000081000000}"/>
    <hyperlink ref="J76" r:id="rId131" xr:uid="{00000000-0004-0000-0000-000082000000}"/>
    <hyperlink ref="D77" r:id="rId132" xr:uid="{00000000-0004-0000-0000-000083000000}"/>
    <hyperlink ref="J77" r:id="rId133" xr:uid="{00000000-0004-0000-0000-000084000000}"/>
    <hyperlink ref="D78" r:id="rId134" xr:uid="{00000000-0004-0000-0000-000085000000}"/>
    <hyperlink ref="J78" r:id="rId135" xr:uid="{00000000-0004-0000-0000-000086000000}"/>
    <hyperlink ref="D79" r:id="rId136" xr:uid="{00000000-0004-0000-0000-000087000000}"/>
    <hyperlink ref="J79" r:id="rId137" xr:uid="{00000000-0004-0000-0000-000088000000}"/>
    <hyperlink ref="D80" r:id="rId138" xr:uid="{00000000-0004-0000-0000-000089000000}"/>
    <hyperlink ref="J80" r:id="rId139" xr:uid="{00000000-0004-0000-0000-00008A000000}"/>
    <hyperlink ref="D81" r:id="rId140" xr:uid="{00000000-0004-0000-0000-00008B000000}"/>
    <hyperlink ref="J81" r:id="rId141" xr:uid="{00000000-0004-0000-0000-00008C000000}"/>
    <hyperlink ref="D82" r:id="rId142" xr:uid="{00000000-0004-0000-0000-00008D000000}"/>
    <hyperlink ref="J82" r:id="rId143" xr:uid="{00000000-0004-0000-0000-00008E000000}"/>
    <hyperlink ref="D83" r:id="rId144" xr:uid="{00000000-0004-0000-0000-00008F000000}"/>
    <hyperlink ref="J83" r:id="rId145" xr:uid="{00000000-0004-0000-0000-000090000000}"/>
    <hyperlink ref="D84" r:id="rId146" xr:uid="{00000000-0004-0000-0000-000091000000}"/>
    <hyperlink ref="J84" r:id="rId147" xr:uid="{00000000-0004-0000-0000-000092000000}"/>
    <hyperlink ref="D85" r:id="rId148" xr:uid="{00000000-0004-0000-0000-000093000000}"/>
    <hyperlink ref="J85" r:id="rId149" xr:uid="{00000000-0004-0000-0000-000094000000}"/>
    <hyperlink ref="D86" r:id="rId150" xr:uid="{00000000-0004-0000-0000-000095000000}"/>
    <hyperlink ref="J86" r:id="rId151" xr:uid="{00000000-0004-0000-0000-000096000000}"/>
    <hyperlink ref="D87" r:id="rId152" xr:uid="{00000000-0004-0000-0000-000097000000}"/>
    <hyperlink ref="D88" r:id="rId153" xr:uid="{00000000-0004-0000-0000-000098000000}"/>
    <hyperlink ref="J88" r:id="rId154" xr:uid="{00000000-0004-0000-0000-000099000000}"/>
    <hyperlink ref="D89" r:id="rId155" xr:uid="{00000000-0004-0000-0000-00009A000000}"/>
    <hyperlink ref="J89" r:id="rId156" xr:uid="{00000000-0004-0000-0000-00009B000000}"/>
    <hyperlink ref="D90" r:id="rId157" xr:uid="{00000000-0004-0000-0000-00009C000000}"/>
    <hyperlink ref="J90" r:id="rId158" xr:uid="{00000000-0004-0000-0000-00009D000000}"/>
    <hyperlink ref="D91" r:id="rId159" xr:uid="{00000000-0004-0000-0000-00009E000000}"/>
    <hyperlink ref="D92" r:id="rId160" xr:uid="{00000000-0004-0000-0000-00009F000000}"/>
    <hyperlink ref="J92" r:id="rId161" xr:uid="{00000000-0004-0000-0000-0000A0000000}"/>
    <hyperlink ref="D93" r:id="rId162" xr:uid="{00000000-0004-0000-0000-0000A1000000}"/>
    <hyperlink ref="J93" r:id="rId163" xr:uid="{00000000-0004-0000-0000-0000A2000000}"/>
    <hyperlink ref="D94" r:id="rId164" xr:uid="{00000000-0004-0000-0000-0000A3000000}"/>
    <hyperlink ref="J94" r:id="rId165" xr:uid="{00000000-0004-0000-0000-0000A4000000}"/>
    <hyperlink ref="D95" r:id="rId166" xr:uid="{00000000-0004-0000-0000-0000A5000000}"/>
    <hyperlink ref="D96" r:id="rId167" xr:uid="{00000000-0004-0000-0000-0000A6000000}"/>
    <hyperlink ref="D97" r:id="rId168" xr:uid="{00000000-0004-0000-0000-0000A7000000}"/>
    <hyperlink ref="J97" r:id="rId169" xr:uid="{00000000-0004-0000-0000-0000A8000000}"/>
    <hyperlink ref="D98" r:id="rId170" xr:uid="{00000000-0004-0000-0000-0000A9000000}"/>
    <hyperlink ref="D99" r:id="rId171" xr:uid="{00000000-0004-0000-0000-0000AA000000}"/>
    <hyperlink ref="J99" r:id="rId172" xr:uid="{00000000-0004-0000-0000-0000AB000000}"/>
    <hyperlink ref="D100" r:id="rId173" xr:uid="{00000000-0004-0000-0000-0000AC000000}"/>
    <hyperlink ref="D101" r:id="rId174" xr:uid="{00000000-0004-0000-0000-0000AD000000}"/>
    <hyperlink ref="D102" r:id="rId175" xr:uid="{00000000-0004-0000-0000-0000AE000000}"/>
    <hyperlink ref="D103" r:id="rId176" xr:uid="{00000000-0004-0000-0000-0000AF000000}"/>
    <hyperlink ref="J103" r:id="rId177" xr:uid="{00000000-0004-0000-0000-0000B0000000}"/>
    <hyperlink ref="D104" r:id="rId178" xr:uid="{00000000-0004-0000-0000-0000B1000000}"/>
    <hyperlink ref="D105" r:id="rId179" xr:uid="{00000000-0004-0000-0000-0000B2000000}"/>
    <hyperlink ref="J105" r:id="rId180" xr:uid="{00000000-0004-0000-0000-0000B3000000}"/>
    <hyperlink ref="D106" r:id="rId181" xr:uid="{00000000-0004-0000-0000-0000B4000000}"/>
    <hyperlink ref="J106" r:id="rId182" xr:uid="{00000000-0004-0000-0000-0000B5000000}"/>
    <hyperlink ref="D107" r:id="rId183" xr:uid="{00000000-0004-0000-0000-0000B6000000}"/>
    <hyperlink ref="J107" r:id="rId184" xr:uid="{00000000-0004-0000-0000-0000B7000000}"/>
    <hyperlink ref="D108" r:id="rId185" xr:uid="{00000000-0004-0000-0000-0000B8000000}"/>
    <hyperlink ref="J108" r:id="rId186" xr:uid="{00000000-0004-0000-0000-0000B9000000}"/>
    <hyperlink ref="D109" r:id="rId187" xr:uid="{00000000-0004-0000-0000-0000BA000000}"/>
    <hyperlink ref="J109" r:id="rId188" xr:uid="{00000000-0004-0000-0000-0000BB000000}"/>
    <hyperlink ref="D111" r:id="rId189" xr:uid="{00000000-0004-0000-0000-0000BC000000}"/>
    <hyperlink ref="J111" r:id="rId190" xr:uid="{00000000-0004-0000-0000-0000BD000000}"/>
    <hyperlink ref="D112" r:id="rId191" xr:uid="{00000000-0004-0000-0000-0000BE000000}"/>
    <hyperlink ref="D113" r:id="rId192" xr:uid="{00000000-0004-0000-0000-0000BF000000}"/>
    <hyperlink ref="J113" r:id="rId193" xr:uid="{00000000-0004-0000-0000-0000C0000000}"/>
    <hyperlink ref="D114" r:id="rId194" xr:uid="{00000000-0004-0000-0000-0000C1000000}"/>
    <hyperlink ref="J114" r:id="rId195" xr:uid="{00000000-0004-0000-0000-0000C2000000}"/>
    <hyperlink ref="D115" r:id="rId196" xr:uid="{00000000-0004-0000-0000-0000C3000000}"/>
    <hyperlink ref="J115" r:id="rId197" xr:uid="{00000000-0004-0000-0000-0000C4000000}"/>
    <hyperlink ref="D116" r:id="rId198" xr:uid="{00000000-0004-0000-0000-0000C5000000}"/>
    <hyperlink ref="J116" r:id="rId199" xr:uid="{00000000-0004-0000-0000-0000C6000000}"/>
    <hyperlink ref="D117" r:id="rId200" xr:uid="{00000000-0004-0000-0000-0000C7000000}"/>
    <hyperlink ref="J117" r:id="rId201" xr:uid="{00000000-0004-0000-0000-0000C8000000}"/>
    <hyperlink ref="D118" r:id="rId202" xr:uid="{00000000-0004-0000-0000-0000C9000000}"/>
    <hyperlink ref="J118" r:id="rId203" xr:uid="{00000000-0004-0000-0000-0000CA000000}"/>
    <hyperlink ref="J119" r:id="rId204" xr:uid="{00000000-0004-0000-0000-0000CB000000}"/>
    <hyperlink ref="D121" r:id="rId205" xr:uid="{00000000-0004-0000-0000-0000CC000000}"/>
    <hyperlink ref="D124" r:id="rId206" xr:uid="{00000000-0004-0000-0000-0000CD000000}"/>
    <hyperlink ref="J124" r:id="rId207" xr:uid="{00000000-0004-0000-0000-0000CE000000}"/>
    <hyperlink ref="D125" r:id="rId208" xr:uid="{00000000-0004-0000-0000-0000CF000000}"/>
    <hyperlink ref="J125" r:id="rId209" xr:uid="{00000000-0004-0000-0000-0000D0000000}"/>
    <hyperlink ref="D126" r:id="rId210" xr:uid="{00000000-0004-0000-0000-0000D1000000}"/>
    <hyperlink ref="D127" r:id="rId211" xr:uid="{00000000-0004-0000-0000-0000D2000000}"/>
    <hyperlink ref="J127" r:id="rId212" xr:uid="{00000000-0004-0000-0000-0000D3000000}"/>
    <hyperlink ref="D128" r:id="rId213" xr:uid="{00000000-0004-0000-0000-0000D4000000}"/>
    <hyperlink ref="J128" r:id="rId214" xr:uid="{00000000-0004-0000-0000-0000D5000000}"/>
    <hyperlink ref="D130" r:id="rId215" xr:uid="{00000000-0004-0000-0000-0000D6000000}"/>
    <hyperlink ref="J130" r:id="rId216" xr:uid="{00000000-0004-0000-0000-0000D7000000}"/>
    <hyperlink ref="D131" r:id="rId217" xr:uid="{00000000-0004-0000-0000-0000D8000000}"/>
    <hyperlink ref="J131" r:id="rId218" xr:uid="{00000000-0004-0000-0000-0000D9000000}"/>
    <hyperlink ref="D132" r:id="rId219" xr:uid="{00000000-0004-0000-0000-0000DA000000}"/>
    <hyperlink ref="J132" r:id="rId220" xr:uid="{00000000-0004-0000-0000-0000DB000000}"/>
    <hyperlink ref="D133" r:id="rId221" xr:uid="{00000000-0004-0000-0000-0000DC000000}"/>
    <hyperlink ref="J133" r:id="rId222" xr:uid="{00000000-0004-0000-0000-0000DD000000}"/>
    <hyperlink ref="D134" r:id="rId223" xr:uid="{00000000-0004-0000-0000-0000DE000000}"/>
    <hyperlink ref="J134" r:id="rId224" xr:uid="{00000000-0004-0000-0000-0000DF000000}"/>
    <hyperlink ref="D135" r:id="rId225" xr:uid="{00000000-0004-0000-0000-0000E0000000}"/>
    <hyperlink ref="J135" r:id="rId226" xr:uid="{00000000-0004-0000-0000-0000E1000000}"/>
    <hyperlink ref="D136" r:id="rId227" xr:uid="{00000000-0004-0000-0000-0000E2000000}"/>
    <hyperlink ref="J136" r:id="rId228" xr:uid="{00000000-0004-0000-0000-0000E3000000}"/>
    <hyperlink ref="D137" r:id="rId229" xr:uid="{00000000-0004-0000-0000-0000E4000000}"/>
    <hyperlink ref="J137" r:id="rId230" xr:uid="{00000000-0004-0000-0000-0000E5000000}"/>
    <hyperlink ref="D138" r:id="rId231" xr:uid="{00000000-0004-0000-0000-0000E6000000}"/>
    <hyperlink ref="J138" r:id="rId232" xr:uid="{00000000-0004-0000-0000-0000E7000000}"/>
    <hyperlink ref="D140" r:id="rId233" xr:uid="{00000000-0004-0000-0000-0000E8000000}"/>
    <hyperlink ref="D139" r:id="rId234" xr:uid="{00000000-0004-0000-0000-0000E9000000}"/>
    <hyperlink ref="J139" r:id="rId235" xr:uid="{00000000-0004-0000-0000-0000EA000000}"/>
    <hyperlink ref="D141" r:id="rId236" xr:uid="{00000000-0004-0000-0000-0000EB000000}"/>
    <hyperlink ref="D110" r:id="rId237" xr:uid="{00000000-0004-0000-0000-0000EC000000}"/>
    <hyperlink ref="J110" r:id="rId238" xr:uid="{00000000-0004-0000-0000-0000ED000000}"/>
    <hyperlink ref="D66" r:id="rId239" xr:uid="{00000000-0004-0000-0000-0000EE000000}"/>
    <hyperlink ref="D119" r:id="rId240" xr:uid="{00000000-0004-0000-0000-0000EF000000}"/>
    <hyperlink ref="D120" r:id="rId241" xr:uid="{00000000-0004-0000-0000-0000F0000000}"/>
    <hyperlink ref="J129" r:id="rId242" xr:uid="{00000000-0004-0000-0000-0000F1000000}"/>
    <hyperlink ref="D129" r:id="rId243" xr:uid="{00000000-0004-0000-0000-0000F2000000}"/>
    <hyperlink ref="J123" r:id="rId244" xr:uid="{00000000-0004-0000-0000-0000F3000000}"/>
    <hyperlink ref="D123" r:id="rId245" xr:uid="{00000000-0004-0000-0000-0000F4000000}"/>
    <hyperlink ref="J122" r:id="rId246" xr:uid="{00000000-0004-0000-0000-0000F5000000}"/>
    <hyperlink ref="D122" r:id="rId247" xr:uid="{00000000-0004-0000-0000-0000F6000000}"/>
    <hyperlink ref="J46" r:id="rId248" xr:uid="{00000000-0004-0000-0000-0000F7000000}"/>
    <hyperlink ref="D46" r:id="rId249" xr:uid="{00000000-0004-0000-0000-0000F8000000}"/>
  </hyperlinks>
  <printOptions horizontalCentered="1" gridLines="1"/>
  <pageMargins left="0.25" right="0.25" top="0.44027777777777799" bottom="0.49027777777777798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C35D88-C9AE-4F51-B94D-EB2F316288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8532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38</vt:i4>
      </vt:variant>
    </vt:vector>
  </HeadingPairs>
  <TitlesOfParts>
    <vt:vector size="44" baseType="lpstr">
      <vt:lpstr>Contemporary</vt:lpstr>
      <vt:lpstr>Classical</vt:lpstr>
      <vt:lpstr>Duo</vt:lpstr>
      <vt:lpstr>CSV</vt:lpstr>
      <vt:lpstr>Spotify</vt:lpstr>
      <vt:lpstr>Solo list</vt:lpstr>
      <vt:lpstr>Contemporary!Print_Titles</vt:lpstr>
      <vt:lpstr>Duo!Print_Titles</vt:lpstr>
      <vt:lpstr>'Solo list'!Print_Titles</vt:lpstr>
      <vt:lpstr>Contemporary!Print_Titles_0</vt:lpstr>
      <vt:lpstr>Duo!Print_Titles_0</vt:lpstr>
      <vt:lpstr>'Solo list'!Print_Titles_0</vt:lpstr>
      <vt:lpstr>Contemporary!Print_Titles_0_0</vt:lpstr>
      <vt:lpstr>Duo!Print_Titles_0_0</vt:lpstr>
      <vt:lpstr>'Solo list'!Print_Titles_0_0</vt:lpstr>
      <vt:lpstr>Contemporary!Print_Titles_0_0_0</vt:lpstr>
      <vt:lpstr>Duo!Print_Titles_0_0_0</vt:lpstr>
      <vt:lpstr>'Solo list'!Print_Titles_0_0_0</vt:lpstr>
      <vt:lpstr>Contemporary!Print_Titles_0_0_0_0</vt:lpstr>
      <vt:lpstr>Duo!Print_Titles_0_0_0_0</vt:lpstr>
      <vt:lpstr>'Solo list'!Print_Titles_0_0_0_0</vt:lpstr>
      <vt:lpstr>Contemporary!Print_Titles_0_0_0_0_0</vt:lpstr>
      <vt:lpstr>Duo!Print_Titles_0_0_0_0_0</vt:lpstr>
      <vt:lpstr>'Solo list'!Print_Titles_0_0_0_0_0</vt:lpstr>
      <vt:lpstr>Contemporary!Print_Titles_0_0_0_0_0_0</vt:lpstr>
      <vt:lpstr>Duo!Print_Titles_0_0_0_0_0_0</vt:lpstr>
      <vt:lpstr>'Solo list'!Print_Titles_0_0_0_0_0_0</vt:lpstr>
      <vt:lpstr>Contemporary!Print_Titles_0_0_0_0_0_0_0</vt:lpstr>
      <vt:lpstr>Duo!Print_Titles_0_0_0_0_0_0_0</vt:lpstr>
      <vt:lpstr>'Solo list'!Print_Titles_0_0_0_0_0_0_0</vt:lpstr>
      <vt:lpstr>Contemporary!Print_Titles_0_0_0_0_0_0_0_0</vt:lpstr>
      <vt:lpstr>Duo!Print_Titles_0_0_0_0_0_0_0_0</vt:lpstr>
      <vt:lpstr>'Solo list'!Print_Titles_0_0_0_0_0_0_0_0</vt:lpstr>
      <vt:lpstr>Contemporary!Print_Titles_0_0_0_0_0_0_0_0_0</vt:lpstr>
      <vt:lpstr>Duo!Print_Titles_0_0_0_0_0_0_0_0_0</vt:lpstr>
      <vt:lpstr>'Solo list'!Print_Titles_0_0_0_0_0_0_0_0_0</vt:lpstr>
      <vt:lpstr>Contemporary!Print_Titles_0_0_0_0_0_0_0_0_0_0</vt:lpstr>
      <vt:lpstr>Duo!Print_Titles_0_0_0_0_0_0_0_0_0_0</vt:lpstr>
      <vt:lpstr>'Solo list'!Print_Titles_0_0_0_0_0_0_0_0_0_0</vt:lpstr>
      <vt:lpstr>Contemporary!Print_Titles_0_0_0_0_0_0_0_0_0_0_0</vt:lpstr>
      <vt:lpstr>Duo!Print_Titles_0_0_0_0_0_0_0_0_0_0_0</vt:lpstr>
      <vt:lpstr>'Solo list'!Print_Titles_0_0_0_0_0_0_0_0_0_0_0</vt:lpstr>
      <vt:lpstr>repertoire_csv</vt:lpstr>
      <vt:lpstr>Contemporary!repertoirelist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Anand Lobo</dc:creator>
  <dc:description/>
  <cp:lastModifiedBy>Anand</cp:lastModifiedBy>
  <cp:revision>24</cp:revision>
  <cp:lastPrinted>2016-09-29T16:18:57Z</cp:lastPrinted>
  <dcterms:created xsi:type="dcterms:W3CDTF">2015-06-15T09:43:34Z</dcterms:created>
  <dcterms:modified xsi:type="dcterms:W3CDTF">2026-06-09T15:03:29Z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